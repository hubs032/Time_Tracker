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path-my.sharepoint.com/personal/aaron_hubbart_uipath_com/Documents/Documents/UiPath/Automation Sandbox/###GitHub/Time Tracker/Data/"/>
    </mc:Choice>
  </mc:AlternateContent>
  <xr:revisionPtr revIDLastSave="51425" documentId="13_ncr:1_{B0FC77DA-B0D0-4527-83BC-18AF3660AE20}" xr6:coauthVersionLast="47" xr6:coauthVersionMax="47" xr10:uidLastSave="{22A827E4-C018-48B8-B24E-4AD5B8927CDB}"/>
  <bookViews>
    <workbookView xWindow="57420" yWindow="0" windowWidth="19485" windowHeight="20985" activeTab="4" xr2:uid="{00000000-000D-0000-FFFF-FFFF00000000}"/>
  </bookViews>
  <sheets>
    <sheet name="TimeEntry" sheetId="1" r:id="rId1"/>
    <sheet name="Summary" sheetId="5" r:id="rId2"/>
    <sheet name="Project List" sheetId="2" r:id="rId3"/>
    <sheet name="Outlook Mapping" sheetId="4" r:id="rId4"/>
    <sheet name="Options" sheetId="7" r:id="rId5"/>
  </sheets>
  <functionGroups builtInGroupCount="19"/>
  <definedNames>
    <definedName name="__TAM_">'Project List'!$A$106:$A$205</definedName>
    <definedName name="_xlnm._FilterDatabase" localSheetId="4" hidden="1">Options!$M$1:$M$101</definedName>
    <definedName name="_xlnm._FilterDatabase" localSheetId="3" hidden="1">'Outlook Mapping'!$A$1:$C$55</definedName>
    <definedName name="_xlnm._FilterDatabase" localSheetId="2" hidden="1">'Project List'!$A$1:$A$6</definedName>
    <definedName name="_xlnm._FilterDatabase" localSheetId="0" hidden="1">TimeEntry!$A$10:$M$329</definedName>
    <definedName name="Categories">#REF!:INDEX(#REF!, MATCH("zzz", IF(LEN(#REF!),#REF!) ))</definedName>
    <definedName name="Comments">TimeEntry!$L$120:$L$321</definedName>
    <definedName name="Customers">Options!$D$2:INDEX(Options!$D$2:$D$28, MATCH("zzz", IF(LEN(Options!$D$2:$D$28), Options!$D2:$D28)))</definedName>
    <definedName name="InvalidTasks">TimeEntry!$B$326</definedName>
    <definedName name="Non_Chargeable_Administrative">Options!$J$2</definedName>
    <definedName name="Non_Chargeable_Available_Time">Options!$J$3</definedName>
    <definedName name="Non_Chargeable_Leave">Options!$J$6:$J$12</definedName>
    <definedName name="Non_Chargeable_Onboarding">Options!$J$4</definedName>
    <definedName name="Non_Chargeable_Professional_Development">Options!$J$5</definedName>
    <definedName name="NumEntries">TimeEntry!$B$324</definedName>
    <definedName name="Projects">'Project List'!$A$2:$A$191</definedName>
    <definedName name="Status">TimeEntry!$B$327</definedName>
    <definedName name="Test1">TimeEntry!$A$1</definedName>
    <definedName name="Test2">TimeEntry!$K$10</definedName>
    <definedName name="Test3">TimeEntry!$B$322</definedName>
    <definedName name="TimeEntries">TimeEntry!$D$11:$J$321</definedName>
    <definedName name="TimeUpload">TimeEntry!$A$10:$L$321</definedName>
    <definedName name="TSDate">TimeEntry!$J$2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" l="1"/>
  <c r="E33" i="1"/>
  <c r="E83" i="1"/>
  <c r="E296" i="1"/>
  <c r="K14" i="1"/>
  <c r="A3" i="1"/>
  <c r="K11" i="1"/>
  <c r="K12" i="1"/>
  <c r="K13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F322" i="1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G322" i="1"/>
  <c r="H322" i="1"/>
  <c r="I322" i="1"/>
  <c r="E322" i="1"/>
  <c r="D322" i="1"/>
  <c r="J322" i="1"/>
  <c r="AC192" i="1"/>
  <c r="Z154" i="1"/>
  <c r="X125" i="1"/>
  <c r="AC61" i="1"/>
  <c r="Y265" i="1"/>
  <c r="AB201" i="1"/>
  <c r="AA271" i="1"/>
  <c r="AD173" i="1"/>
  <c r="AB231" i="1"/>
  <c r="Y193" i="1"/>
  <c r="AC17" i="1"/>
  <c r="X51" i="1"/>
  <c r="AC94" i="1"/>
  <c r="AD156" i="1"/>
  <c r="AD88" i="1"/>
  <c r="X302" i="1"/>
  <c r="AC251" i="1"/>
  <c r="Y317" i="1"/>
  <c r="X301" i="1"/>
  <c r="AD89" i="1"/>
  <c r="AA51" i="1"/>
  <c r="Y22" i="1"/>
  <c r="Z43" i="1"/>
  <c r="AB91" i="1"/>
  <c r="Z309" i="1"/>
  <c r="Z107" i="1"/>
  <c r="AD45" i="1"/>
  <c r="AC128" i="1"/>
  <c r="Z90" i="1"/>
  <c r="X61" i="1"/>
  <c r="Y82" i="1"/>
  <c r="Z179" i="1"/>
  <c r="AC20" i="1"/>
  <c r="X189" i="1"/>
  <c r="AC164" i="1"/>
  <c r="AB167" i="1"/>
  <c r="Y129" i="1"/>
  <c r="AD99" i="1"/>
  <c r="AB36" i="1"/>
  <c r="AC234" i="1"/>
  <c r="X158" i="1"/>
  <c r="AA241" i="1"/>
  <c r="X236" i="1"/>
  <c r="AA206" i="1"/>
  <c r="X168" i="1"/>
  <c r="AC138" i="1"/>
  <c r="AA75" i="1"/>
  <c r="Z280" i="1"/>
  <c r="AD220" i="1"/>
  <c r="X286" i="1"/>
  <c r="AD25" i="1"/>
  <c r="AB69" i="1"/>
  <c r="AC131" i="1"/>
  <c r="AC63" i="1"/>
  <c r="Z275" i="1"/>
  <c r="AC220" i="1"/>
  <c r="AD302" i="1"/>
  <c r="Y274" i="1"/>
  <c r="AC64" i="1"/>
  <c r="Z26" i="1"/>
  <c r="AB170" i="1"/>
  <c r="Y18" i="1"/>
  <c r="AC315" i="1"/>
  <c r="X268" i="1"/>
  <c r="AA228" i="1"/>
  <c r="X294" i="1"/>
  <c r="AB103" i="1"/>
  <c r="Y65" i="1"/>
  <c r="AD35" i="1"/>
  <c r="X57" i="1"/>
  <c r="AD125" i="1"/>
  <c r="Z319" i="1"/>
  <c r="Y138" i="1"/>
  <c r="AC107" i="1"/>
  <c r="AA142" i="1"/>
  <c r="X104" i="1"/>
  <c r="AC74" i="1"/>
  <c r="AD95" i="1"/>
  <c r="Y201" i="1"/>
  <c r="AC100" i="1"/>
  <c r="Z209" i="1"/>
  <c r="AB189" i="1"/>
  <c r="Z181" i="1"/>
  <c r="AD142" i="1"/>
  <c r="AB113" i="1"/>
  <c r="Z50" i="1"/>
  <c r="AA251" i="1"/>
  <c r="AA184" i="1"/>
  <c r="Y258" i="1"/>
  <c r="AA286" i="1"/>
  <c r="Y220" i="1"/>
  <c r="AC181" i="1"/>
  <c r="AA152" i="1"/>
  <c r="AA25" i="1"/>
  <c r="AD294" i="1"/>
  <c r="AD237" i="1"/>
  <c r="AC300" i="1"/>
  <c r="AA64" i="1"/>
  <c r="X259" i="1"/>
  <c r="AB220" i="1"/>
  <c r="Y45" i="1"/>
  <c r="Z64" i="1"/>
  <c r="AB318" i="1"/>
  <c r="Y283" i="1"/>
  <c r="Y103" i="1"/>
  <c r="AA169" i="1"/>
  <c r="AB184" i="1"/>
  <c r="AA139" i="1"/>
  <c r="AC283" i="1"/>
  <c r="X256" i="1"/>
  <c r="AA188" i="1"/>
  <c r="Y217" i="1"/>
  <c r="AA308" i="1"/>
  <c r="X174" i="1"/>
  <c r="AA78" i="1"/>
  <c r="Z305" i="1"/>
  <c r="Z315" i="1"/>
  <c r="Z164" i="1"/>
  <c r="X251" i="1"/>
  <c r="AC262" i="1"/>
  <c r="X287" i="1"/>
  <c r="AA210" i="1"/>
  <c r="AC306" i="1"/>
  <c r="AB279" i="1"/>
  <c r="AD34" i="1"/>
  <c r="AD319" i="1"/>
  <c r="AD68" i="1"/>
  <c r="Z229" i="1"/>
  <c r="AD190" i="1"/>
  <c r="AA15" i="1"/>
  <c r="AB34" i="1"/>
  <c r="AA304" i="1"/>
  <c r="Y249" i="1"/>
  <c r="AD309" i="1"/>
  <c r="X103" i="1"/>
  <c r="Y268" i="1"/>
  <c r="AC229" i="1"/>
  <c r="Z54" i="1"/>
  <c r="AB87" i="1"/>
  <c r="Y49" i="1"/>
  <c r="AD19" i="1"/>
  <c r="X41" i="1"/>
  <c r="AA82" i="1"/>
  <c r="X300" i="1"/>
  <c r="AB101" i="1"/>
  <c r="AB27" i="1"/>
  <c r="AA126" i="1"/>
  <c r="X88" i="1"/>
  <c r="AC58" i="1"/>
  <c r="AD79" i="1"/>
  <c r="AA175" i="1"/>
  <c r="AC301" i="1"/>
  <c r="X185" i="1"/>
  <c r="Y160" i="1"/>
  <c r="Z165" i="1"/>
  <c r="AD126" i="1"/>
  <c r="AB97" i="1"/>
  <c r="Z34" i="1"/>
  <c r="AD231" i="1"/>
  <c r="Y153" i="1"/>
  <c r="Z238" i="1"/>
  <c r="AC221" i="1"/>
  <c r="Y204" i="1"/>
  <c r="AC165" i="1"/>
  <c r="AA136" i="1"/>
  <c r="Y73" i="1"/>
  <c r="AD277" i="1"/>
  <c r="AA217" i="1"/>
  <c r="AB283" i="1"/>
  <c r="AA317" i="1"/>
  <c r="X243" i="1"/>
  <c r="AB204" i="1"/>
  <c r="Y29" i="1"/>
  <c r="Z48" i="1"/>
  <c r="Y318" i="1"/>
  <c r="AB265" i="1"/>
  <c r="AB314" i="1"/>
  <c r="AA62" i="1"/>
  <c r="X24" i="1"/>
  <c r="Z168" i="1"/>
  <c r="AD15" i="1"/>
  <c r="AA313" i="1"/>
  <c r="AA265" i="1"/>
  <c r="AC182" i="1"/>
  <c r="X308" i="1"/>
  <c r="Z101" i="1"/>
  <c r="AD62" i="1"/>
  <c r="AB33" i="1"/>
  <c r="AC54" i="1"/>
  <c r="X121" i="1"/>
  <c r="AD311" i="1"/>
  <c r="AD132" i="1"/>
  <c r="AD102" i="1"/>
  <c r="Y140" i="1"/>
  <c r="AC101" i="1"/>
  <c r="AA72" i="1"/>
  <c r="AB93" i="1"/>
  <c r="Y198" i="1"/>
  <c r="AC93" i="1"/>
  <c r="AC205" i="1"/>
  <c r="AA185" i="1"/>
  <c r="X179" i="1"/>
  <c r="AB140" i="1"/>
  <c r="Z111" i="1"/>
  <c r="X48" i="1"/>
  <c r="AC248" i="1"/>
  <c r="Z180" i="1"/>
  <c r="AA255" i="1"/>
  <c r="Z269" i="1"/>
  <c r="AD217" i="1"/>
  <c r="AA179" i="1"/>
  <c r="Y150" i="1"/>
  <c r="Y23" i="1"/>
  <c r="AA292" i="1"/>
  <c r="Y235" i="1"/>
  <c r="Z298" i="1"/>
  <c r="Y46" i="1"/>
  <c r="AC256" i="1"/>
  <c r="Z218" i="1"/>
  <c r="AD42" i="1"/>
  <c r="X62" i="1"/>
  <c r="Y307" i="1"/>
  <c r="AC280" i="1"/>
  <c r="Z317" i="1"/>
  <c r="AD164" i="1"/>
  <c r="AC39" i="1"/>
  <c r="Y257" i="1"/>
  <c r="AC81" i="1"/>
  <c r="AA141" i="1"/>
  <c r="AC253" i="1"/>
  <c r="AD276" i="1"/>
  <c r="Z112" i="1"/>
  <c r="Z225" i="1"/>
  <c r="Z241" i="1"/>
  <c r="X178" i="1"/>
  <c r="AB173" i="1"/>
  <c r="AD279" i="1"/>
  <c r="AC246" i="1"/>
  <c r="AC191" i="1"/>
  <c r="AA125" i="1"/>
  <c r="Z272" i="1"/>
  <c r="Y115" i="1"/>
  <c r="Y286" i="1"/>
  <c r="X194" i="1"/>
  <c r="Y279" i="1"/>
  <c r="AC296" i="1"/>
  <c r="AA240" i="1"/>
  <c r="AC149" i="1"/>
  <c r="X197" i="1"/>
  <c r="X295" i="1"/>
  <c r="AB317" i="1"/>
  <c r="Z117" i="1"/>
  <c r="AB213" i="1"/>
  <c r="AC318" i="1"/>
  <c r="AD265" i="1"/>
  <c r="AA227" i="1"/>
  <c r="X52" i="1"/>
  <c r="AA32" i="1"/>
  <c r="Y288" i="1"/>
  <c r="AC297" i="1"/>
  <c r="AA301" i="1"/>
  <c r="Y182" i="1"/>
  <c r="AD48" i="1"/>
  <c r="AB19" i="1"/>
  <c r="AD90" i="1"/>
  <c r="Y124" i="1"/>
  <c r="AC85" i="1"/>
  <c r="AA56" i="1"/>
  <c r="AB77" i="1"/>
  <c r="Z171" i="1"/>
  <c r="AB259" i="1"/>
  <c r="AC180" i="1"/>
  <c r="Z155" i="1"/>
  <c r="X163" i="1"/>
  <c r="AB124" i="1"/>
  <c r="Z95" i="1"/>
  <c r="X32" i="1"/>
  <c r="AD228" i="1"/>
  <c r="Z148" i="1"/>
  <c r="AB235" i="1"/>
  <c r="AD218" i="1"/>
  <c r="AD201" i="1"/>
  <c r="AA163" i="1"/>
  <c r="Y134" i="1"/>
  <c r="AD70" i="1"/>
  <c r="AA275" i="1"/>
  <c r="AB214" i="1"/>
  <c r="Y281" i="1"/>
  <c r="AC291" i="1"/>
  <c r="AC240" i="1"/>
  <c r="Z202" i="1"/>
  <c r="AD26" i="1"/>
  <c r="X46" i="1"/>
  <c r="AD315" i="1"/>
  <c r="X263" i="1"/>
  <c r="Z321" i="1"/>
  <c r="X129" i="1"/>
  <c r="AC23" i="1"/>
  <c r="Y241" i="1"/>
  <c r="AC65" i="1"/>
  <c r="AD104" i="1"/>
  <c r="AD298" i="1"/>
  <c r="AD280" i="1"/>
  <c r="AB43" i="1"/>
  <c r="X99" i="1"/>
  <c r="AB60" i="1"/>
  <c r="Z31" i="1"/>
  <c r="AA52" i="1"/>
  <c r="Z115" i="1"/>
  <c r="AB290" i="1"/>
  <c r="X128" i="1"/>
  <c r="Z96" i="1"/>
  <c r="AD137" i="1"/>
  <c r="AA99" i="1"/>
  <c r="Y70" i="1"/>
  <c r="Z91" i="1"/>
  <c r="AA194" i="1"/>
  <c r="AB84" i="1"/>
  <c r="AC202" i="1"/>
  <c r="AB181" i="1"/>
  <c r="AC176" i="1"/>
  <c r="Z138" i="1"/>
  <c r="X109" i="1"/>
  <c r="AC45" i="1"/>
  <c r="X246" i="1"/>
  <c r="X176" i="1"/>
  <c r="AC252" i="1"/>
  <c r="Y264" i="1"/>
  <c r="AB215" i="1"/>
  <c r="Y177" i="1"/>
  <c r="AD147" i="1"/>
  <c r="AD20" i="1"/>
  <c r="X290" i="1"/>
  <c r="AA232" i="1"/>
  <c r="AD295" i="1"/>
  <c r="AD27" i="1"/>
  <c r="AA254" i="1"/>
  <c r="X216" i="1"/>
  <c r="AB40" i="1"/>
  <c r="AC59" i="1"/>
  <c r="X288" i="1"/>
  <c r="Z278" i="1"/>
  <c r="Z279" i="1"/>
  <c r="Z160" i="1"/>
  <c r="AA37" i="1"/>
  <c r="AD254" i="1"/>
  <c r="AA79" i="1"/>
  <c r="Z135" i="1"/>
  <c r="AA219" i="1"/>
  <c r="AA303" i="1"/>
  <c r="AA107" i="1"/>
  <c r="AD221" i="1"/>
  <c r="Z76" i="1"/>
  <c r="X47" i="1"/>
  <c r="Z118" i="1"/>
  <c r="AB207" i="1"/>
  <c r="X137" i="1"/>
  <c r="AD100" i="1"/>
  <c r="Y189" i="1"/>
  <c r="AA215" i="1"/>
  <c r="Y230" i="1"/>
  <c r="AD266" i="1"/>
  <c r="X272" i="1"/>
  <c r="AC217" i="1"/>
  <c r="Z266" i="1"/>
  <c r="AB198" i="1"/>
  <c r="Y44" i="1"/>
  <c r="Y135" i="1"/>
  <c r="X40" i="1"/>
  <c r="Y250" i="1"/>
  <c r="AC281" i="1"/>
  <c r="AB203" i="1"/>
  <c r="Z259" i="1"/>
  <c r="AA246" i="1"/>
  <c r="AC38" i="1"/>
  <c r="Z139" i="1"/>
  <c r="AB243" i="1"/>
  <c r="AC200" i="1"/>
  <c r="X154" i="1"/>
  <c r="Y227" i="1"/>
  <c r="AA16" i="1"/>
  <c r="AB46" i="1"/>
  <c r="Z17" i="1"/>
  <c r="AB88" i="1"/>
  <c r="AA156" i="1"/>
  <c r="AA18" i="1"/>
  <c r="Y186" i="1"/>
  <c r="Y128" i="1"/>
  <c r="AA233" i="1"/>
  <c r="AA85" i="1"/>
  <c r="Y56" i="1"/>
  <c r="AA127" i="1"/>
  <c r="AC160" i="1"/>
  <c r="Z122" i="1"/>
  <c r="X93" i="1"/>
  <c r="AC29" i="1"/>
  <c r="Y226" i="1"/>
  <c r="Y142" i="1"/>
  <c r="AD232" i="1"/>
  <c r="AD215" i="1"/>
  <c r="AB199" i="1"/>
  <c r="Y161" i="1"/>
  <c r="AD131" i="1"/>
  <c r="AB68" i="1"/>
  <c r="X273" i="1"/>
  <c r="AC211" i="1"/>
  <c r="AC278" i="1"/>
  <c r="Y272" i="1"/>
  <c r="AA238" i="1"/>
  <c r="X200" i="1"/>
  <c r="AB24" i="1"/>
  <c r="AC43" i="1"/>
  <c r="AB313" i="1"/>
  <c r="AA260" i="1"/>
  <c r="X319" i="1"/>
  <c r="AC123" i="1"/>
  <c r="AA21" i="1"/>
  <c r="AD238" i="1"/>
  <c r="AA63" i="1"/>
  <c r="AC98" i="1"/>
  <c r="AB312" i="1"/>
  <c r="Y255" i="1"/>
  <c r="Z25" i="1"/>
  <c r="Z200" i="1"/>
  <c r="Z60" i="1"/>
  <c r="X31" i="1"/>
  <c r="Z102" i="1"/>
  <c r="AD182" i="1"/>
  <c r="AA100" i="1"/>
  <c r="AD310" i="1"/>
  <c r="AD159" i="1"/>
  <c r="AB135" i="1"/>
  <c r="Y97" i="1"/>
  <c r="AD67" i="1"/>
  <c r="X89" i="1"/>
  <c r="Z191" i="1"/>
  <c r="AA73" i="1"/>
  <c r="X199" i="1"/>
  <c r="AC177" i="1"/>
  <c r="AA174" i="1"/>
  <c r="X136" i="1"/>
  <c r="AC106" i="1"/>
  <c r="AA43" i="1"/>
  <c r="AD242" i="1"/>
  <c r="AC171" i="1"/>
  <c r="AB249" i="1"/>
  <c r="AB261" i="1"/>
  <c r="Z213" i="1"/>
  <c r="AD174" i="1"/>
  <c r="AB145" i="1"/>
  <c r="AB18" i="1"/>
  <c r="AB287" i="1"/>
  <c r="AB229" i="1"/>
  <c r="Z293" i="1"/>
  <c r="AB308" i="1"/>
  <c r="Y252" i="1"/>
  <c r="AC213" i="1"/>
  <c r="Z38" i="1"/>
  <c r="AA57" i="1"/>
  <c r="Y316" i="1"/>
  <c r="AD275" i="1"/>
  <c r="AC305" i="1"/>
  <c r="AA155" i="1"/>
  <c r="Y35" i="1"/>
  <c r="AB252" i="1"/>
  <c r="Y77" i="1"/>
  <c r="AA130" i="1"/>
  <c r="AD186" i="1"/>
  <c r="AD271" i="1"/>
  <c r="AB102" i="1"/>
  <c r="X219" i="1"/>
  <c r="X74" i="1"/>
  <c r="AC44" i="1"/>
  <c r="X116" i="1"/>
  <c r="AD203" i="1"/>
  <c r="Z131" i="1"/>
  <c r="AD93" i="1"/>
  <c r="Y185" i="1"/>
  <c r="Z12" i="1"/>
  <c r="AD112" i="1"/>
  <c r="AB83" i="1"/>
  <c r="AD154" i="1"/>
  <c r="AD253" i="1"/>
  <c r="X205" i="1"/>
  <c r="AA180" i="1"/>
  <c r="AC238" i="1"/>
  <c r="X42" i="1"/>
  <c r="AB241" i="1"/>
  <c r="X145" i="1"/>
  <c r="Z89" i="1"/>
  <c r="Z44" i="1"/>
  <c r="Z244" i="1"/>
  <c r="AC195" i="1"/>
  <c r="AD80" i="1"/>
  <c r="AD281" i="1"/>
  <c r="AD85" i="1"/>
  <c r="Y203" i="1"/>
  <c r="AD321" i="1"/>
  <c r="AD291" i="1"/>
  <c r="AD103" i="1"/>
  <c r="X252" i="1"/>
  <c r="X241" i="1"/>
  <c r="X146" i="1"/>
  <c r="AD251" i="1"/>
  <c r="X249" i="1"/>
  <c r="AD78" i="1"/>
  <c r="X306" i="1"/>
  <c r="AB273" i="1"/>
  <c r="Y83" i="1"/>
  <c r="AD53" i="1"/>
  <c r="Y125" i="1"/>
  <c r="AC216" i="1"/>
  <c r="AD152" i="1"/>
  <c r="AC116" i="1"/>
  <c r="Y199" i="1"/>
  <c r="AB12" i="1"/>
  <c r="X122" i="1"/>
  <c r="AC92" i="1"/>
  <c r="X164" i="1"/>
  <c r="Z197" i="1"/>
  <c r="AD158" i="1"/>
  <c r="AB129" i="1"/>
  <c r="Z66" i="1"/>
  <c r="Z270" i="1"/>
  <c r="Z208" i="1"/>
  <c r="Z276" i="1"/>
  <c r="AD244" i="1"/>
  <c r="Y236" i="1"/>
  <c r="AC197" i="1"/>
  <c r="Z22" i="1"/>
  <c r="AA41" i="1"/>
  <c r="Z311" i="1"/>
  <c r="AC257" i="1"/>
  <c r="AC316" i="1"/>
  <c r="AD118" i="1"/>
  <c r="Y19" i="1"/>
  <c r="AB236" i="1"/>
  <c r="Y61" i="1"/>
  <c r="AB89" i="1"/>
  <c r="AB281" i="1"/>
  <c r="Z316" i="1"/>
  <c r="Z306" i="1"/>
  <c r="AB196" i="1"/>
  <c r="X58" i="1"/>
  <c r="AC28" i="1"/>
  <c r="X100" i="1"/>
  <c r="AB178" i="1"/>
  <c r="AC91" i="1"/>
  <c r="AD269" i="1"/>
  <c r="Y154" i="1"/>
  <c r="AA14" i="1"/>
  <c r="AD96" i="1"/>
  <c r="AB67" i="1"/>
  <c r="AD138" i="1"/>
  <c r="AA234" i="1"/>
  <c r="AD179" i="1"/>
  <c r="AA148" i="1"/>
  <c r="AB218" i="1"/>
  <c r="Y172" i="1"/>
  <c r="AC133" i="1"/>
  <c r="AA104" i="1"/>
  <c r="Y41" i="1"/>
  <c r="Y240" i="1"/>
  <c r="Z167" i="1"/>
  <c r="AD246" i="1"/>
  <c r="AB258" i="1"/>
  <c r="X211" i="1"/>
  <c r="AB172" i="1"/>
  <c r="Z143" i="1"/>
  <c r="Z16" i="1"/>
  <c r="Y285" i="1"/>
  <c r="AB226" i="1"/>
  <c r="AD290" i="1"/>
  <c r="AA272" i="1"/>
  <c r="AD249" i="1"/>
  <c r="AA211" i="1"/>
  <c r="X36" i="1"/>
  <c r="Y55" i="1"/>
  <c r="AC304" i="1"/>
  <c r="AA273" i="1"/>
  <c r="Z274" i="1"/>
  <c r="AB150" i="1"/>
  <c r="AD32" i="1"/>
  <c r="Z250" i="1"/>
  <c r="AD74" i="1"/>
  <c r="AB125" i="1"/>
  <c r="Y315" i="1"/>
  <c r="AD227" i="1"/>
  <c r="X96" i="1"/>
  <c r="Y216" i="1"/>
  <c r="AC71" i="1"/>
  <c r="AA42" i="1"/>
  <c r="AC113" i="1"/>
  <c r="AD200" i="1"/>
  <c r="X126" i="1"/>
  <c r="AC84" i="1"/>
  <c r="AD180" i="1"/>
  <c r="AA13" i="1"/>
  <c r="AB110" i="1"/>
  <c r="Z81" i="1"/>
  <c r="AB152" i="1"/>
  <c r="Y251" i="1"/>
  <c r="Z201" i="1"/>
  <c r="Y176" i="1"/>
  <c r="AC235" i="1"/>
  <c r="Z30" i="1"/>
  <c r="AA149" i="1"/>
  <c r="Y120" i="1"/>
  <c r="Y36" i="1"/>
  <c r="AB294" i="1"/>
  <c r="AB251" i="1"/>
  <c r="AB232" i="1"/>
  <c r="Z281" i="1"/>
  <c r="X49" i="1"/>
  <c r="X203" i="1"/>
  <c r="AC66" i="1"/>
  <c r="Z228" i="1"/>
  <c r="Z51" i="1"/>
  <c r="X206" i="1"/>
  <c r="X281" i="1"/>
  <c r="AB51" i="1"/>
  <c r="X152" i="1"/>
  <c r="Z184" i="1"/>
  <c r="X228" i="1"/>
  <c r="X190" i="1"/>
  <c r="AC224" i="1"/>
  <c r="Y13" i="1"/>
  <c r="AD318" i="1"/>
  <c r="Y231" i="1"/>
  <c r="Y299" i="1"/>
  <c r="Z310" i="1"/>
  <c r="Y207" i="1"/>
  <c r="AC124" i="1"/>
  <c r="AD247" i="1"/>
  <c r="Z302" i="1"/>
  <c r="AD13" i="1"/>
  <c r="AC119" i="1"/>
  <c r="AA90" i="1"/>
  <c r="AC161" i="1"/>
  <c r="Z262" i="1"/>
  <c r="Z214" i="1"/>
  <c r="X192" i="1"/>
  <c r="X247" i="1"/>
  <c r="AA39" i="1"/>
  <c r="AB158" i="1"/>
  <c r="Z129" i="1"/>
  <c r="Z45" i="1"/>
  <c r="AD233" i="1"/>
  <c r="AA195" i="1"/>
  <c r="X20" i="1"/>
  <c r="Y39" i="1"/>
  <c r="X309" i="1"/>
  <c r="X255" i="1"/>
  <c r="AA314" i="1"/>
  <c r="X114" i="1"/>
  <c r="AD16" i="1"/>
  <c r="Z234" i="1"/>
  <c r="AD58" i="1"/>
  <c r="AA80" i="1"/>
  <c r="X225" i="1"/>
  <c r="AC311" i="1"/>
  <c r="Z267" i="1"/>
  <c r="AB193" i="1"/>
  <c r="AC55" i="1"/>
  <c r="AA26" i="1"/>
  <c r="AC97" i="1"/>
  <c r="AC174" i="1"/>
  <c r="AB82" i="1"/>
  <c r="AB216" i="1"/>
  <c r="AD148" i="1"/>
  <c r="Y12" i="1"/>
  <c r="AB94" i="1"/>
  <c r="Z65" i="1"/>
  <c r="AB136" i="1"/>
  <c r="Z231" i="1"/>
  <c r="AC175" i="1"/>
  <c r="AC142" i="1"/>
  <c r="Y215" i="1"/>
  <c r="X14" i="1"/>
  <c r="AA133" i="1"/>
  <c r="Y104" i="1"/>
  <c r="Y20" i="1"/>
  <c r="AB277" i="1"/>
  <c r="Y232" i="1"/>
  <c r="AD211" i="1"/>
  <c r="AD263" i="1"/>
  <c r="AC208" i="1"/>
  <c r="Z170" i="1"/>
  <c r="X141" i="1"/>
  <c r="AC77" i="1"/>
  <c r="AC282" i="1"/>
  <c r="AC223" i="1"/>
  <c r="AA288" i="1"/>
  <c r="Y234" i="1"/>
  <c r="AB247" i="1"/>
  <c r="Y209" i="1"/>
  <c r="AC33" i="1"/>
  <c r="AD52" i="1"/>
  <c r="AD287" i="1"/>
  <c r="X271" i="1"/>
  <c r="Z233" i="1"/>
  <c r="AA144" i="1"/>
  <c r="AB30" i="1"/>
  <c r="X248" i="1"/>
  <c r="AB72" i="1"/>
  <c r="AD119" i="1"/>
  <c r="AB269" i="1"/>
  <c r="AC314" i="1"/>
  <c r="AD86" i="1"/>
  <c r="AC212" i="1"/>
  <c r="AA69" i="1"/>
  <c r="Y40" i="1"/>
  <c r="AA111" i="1"/>
  <c r="AB197" i="1"/>
  <c r="Y121" i="1"/>
  <c r="AB73" i="1"/>
  <c r="X177" i="1"/>
  <c r="X13" i="1"/>
  <c r="Z108" i="1"/>
  <c r="X79" i="1"/>
  <c r="Z150" i="1"/>
  <c r="AA248" i="1"/>
  <c r="Z198" i="1"/>
  <c r="AD171" i="1"/>
  <c r="X233" i="1"/>
  <c r="X28" i="1"/>
  <c r="Y147" i="1"/>
  <c r="AD117" i="1"/>
  <c r="AD33" i="1"/>
  <c r="Y292" i="1"/>
  <c r="AD248" i="1"/>
  <c r="AD229" i="1"/>
  <c r="AD278" i="1"/>
  <c r="AD66" i="1"/>
  <c r="X186" i="1"/>
  <c r="AC156" i="1"/>
  <c r="AC72" i="1"/>
  <c r="AD243" i="1"/>
  <c r="AB292" i="1"/>
  <c r="X284" i="1"/>
  <c r="AA321" i="1"/>
  <c r="AA259" i="1"/>
  <c r="AB134" i="1"/>
  <c r="AB165" i="1"/>
  <c r="AC310" i="1"/>
  <c r="X15" i="1"/>
  <c r="AD41" i="1"/>
  <c r="AD268" i="1"/>
  <c r="X150" i="1"/>
  <c r="X80" i="1"/>
  <c r="Y157" i="1"/>
  <c r="Y284" i="1"/>
  <c r="X245" i="1"/>
  <c r="AC70" i="1"/>
  <c r="AC80" i="1"/>
  <c r="AB307" i="1"/>
  <c r="AB200" i="1"/>
  <c r="AB32" i="1"/>
  <c r="Y321" i="1"/>
  <c r="Y239" i="1"/>
  <c r="AB49" i="1"/>
  <c r="Z294" i="1"/>
  <c r="AC73" i="1"/>
  <c r="AD192" i="1"/>
  <c r="AB163" i="1"/>
  <c r="AB79" i="1"/>
  <c r="Z307" i="1"/>
  <c r="AD299" i="1"/>
  <c r="Z98" i="1"/>
  <c r="AC266" i="1"/>
  <c r="AB112" i="1"/>
  <c r="AC231" i="1"/>
  <c r="AA202" i="1"/>
  <c r="AA118" i="1"/>
  <c r="Y51" i="1"/>
  <c r="AD21" i="1"/>
  <c r="Y93" i="1"/>
  <c r="AB166" i="1"/>
  <c r="X55" i="1"/>
  <c r="Y294" i="1"/>
  <c r="Y139" i="1"/>
  <c r="Z14" i="1"/>
  <c r="X90" i="1"/>
  <c r="AC60" i="1"/>
  <c r="X132" i="1"/>
  <c r="AD225" i="1"/>
  <c r="X167" i="1"/>
  <c r="AB132" i="1"/>
  <c r="AA209" i="1"/>
  <c r="Y14" i="1"/>
  <c r="AD128" i="1"/>
  <c r="AB99" i="1"/>
  <c r="AB15" i="1"/>
  <c r="AB272" i="1"/>
  <c r="Z226" i="1"/>
  <c r="AA205" i="1"/>
  <c r="Z258" i="1"/>
  <c r="AB48" i="1"/>
  <c r="AC167" i="1"/>
  <c r="AA138" i="1"/>
  <c r="AA54" i="1"/>
  <c r="Z313" i="1"/>
  <c r="Y273" i="1"/>
  <c r="Y271" i="1"/>
  <c r="AD300" i="1"/>
  <c r="AA87" i="1"/>
  <c r="AB206" i="1"/>
  <c r="Z177" i="1"/>
  <c r="Z93" i="1"/>
  <c r="Y289" i="1"/>
  <c r="AC313" i="1"/>
  <c r="X23" i="1"/>
  <c r="AA160" i="1"/>
  <c r="X26" i="1"/>
  <c r="AA243" i="1"/>
  <c r="X68" i="1"/>
  <c r="AC109" i="1"/>
  <c r="AA66" i="1"/>
  <c r="AC302" i="1"/>
  <c r="AD61" i="1"/>
  <c r="AC206" i="1"/>
  <c r="AD64" i="1"/>
  <c r="AB35" i="1"/>
  <c r="AD106" i="1"/>
  <c r="AC190" i="1"/>
  <c r="Y110" i="1"/>
  <c r="Z39" i="1"/>
  <c r="X169" i="1"/>
  <c r="AD14" i="1"/>
  <c r="AC103" i="1"/>
  <c r="AA74" i="1"/>
  <c r="AC145" i="1"/>
  <c r="AB242" i="1"/>
  <c r="AA191" i="1"/>
  <c r="Z163" i="1"/>
  <c r="AB227" i="1"/>
  <c r="AA23" i="1"/>
  <c r="AB142" i="1"/>
  <c r="Z113" i="1"/>
  <c r="Z29" i="1"/>
  <c r="Z287" i="1"/>
  <c r="Z243" i="1"/>
  <c r="AD223" i="1"/>
  <c r="X274" i="1"/>
  <c r="Z62" i="1"/>
  <c r="AA181" i="1"/>
  <c r="Y152" i="1"/>
  <c r="Y68" i="1"/>
  <c r="X314" i="1"/>
  <c r="AC287" i="1"/>
  <c r="Z303" i="1"/>
  <c r="AD316" i="1"/>
  <c r="Y101" i="1"/>
  <c r="Z220" i="1"/>
  <c r="X191" i="1"/>
  <c r="X107" i="1"/>
  <c r="AD312" i="1"/>
  <c r="AC320" i="1"/>
  <c r="X101" i="1"/>
  <c r="X299" i="1"/>
  <c r="X140" i="1"/>
  <c r="Y259" i="1"/>
  <c r="AC35" i="1"/>
  <c r="AD145" i="1"/>
  <c r="AB130" i="1"/>
  <c r="Y228" i="1"/>
  <c r="AD184" i="1"/>
  <c r="Z128" i="1"/>
  <c r="X84" i="1"/>
  <c r="Z264" i="1"/>
  <c r="Y267" i="1"/>
  <c r="Y151" i="1"/>
  <c r="Z86" i="1"/>
  <c r="AB85" i="1"/>
  <c r="AA212" i="1"/>
  <c r="X64" i="1"/>
  <c r="AA261" i="1"/>
  <c r="X30" i="1"/>
  <c r="AA98" i="1"/>
  <c r="Z282" i="1"/>
  <c r="AD168" i="1"/>
  <c r="Z42" i="1"/>
  <c r="X253" i="1"/>
  <c r="AA68" i="1"/>
  <c r="AC151" i="1"/>
  <c r="X317" i="1"/>
  <c r="AD230" i="1"/>
  <c r="AB86" i="1"/>
  <c r="Y262" i="1"/>
  <c r="X83" i="1"/>
  <c r="AB44" i="1"/>
  <c r="Z15" i="1"/>
  <c r="AA36" i="1"/>
  <c r="X53" i="1"/>
  <c r="Y295" i="1"/>
  <c r="X85" i="1"/>
  <c r="X237" i="1"/>
  <c r="AD121" i="1"/>
  <c r="AA83" i="1"/>
  <c r="Y54" i="1"/>
  <c r="AA151" i="1"/>
  <c r="AB270" i="1"/>
  <c r="Y47" i="1"/>
  <c r="Z157" i="1"/>
  <c r="AA157" i="1"/>
  <c r="AA140" i="1"/>
  <c r="AB202" i="1"/>
  <c r="Y155" i="1"/>
  <c r="Z190" i="1"/>
  <c r="AD23" i="1"/>
  <c r="X86" i="1"/>
  <c r="X18" i="1"/>
  <c r="AC219" i="1"/>
  <c r="X142" i="1"/>
  <c r="AA252" i="1"/>
  <c r="AC218" i="1"/>
  <c r="X19" i="1"/>
  <c r="AC62" i="1"/>
  <c r="AD124" i="1"/>
  <c r="AD56" i="1"/>
  <c r="AB267" i="1"/>
  <c r="AB211" i="1"/>
  <c r="AB295" i="1"/>
  <c r="AB266" i="1"/>
  <c r="AD57" i="1"/>
  <c r="AA19" i="1"/>
  <c r="AC163" i="1"/>
  <c r="AC95" i="1"/>
  <c r="AD308" i="1"/>
  <c r="Z260" i="1"/>
  <c r="AA225" i="1"/>
  <c r="AB230" i="1"/>
  <c r="AC96" i="1"/>
  <c r="Z58" i="1"/>
  <c r="X29" i="1"/>
  <c r="Y50" i="1"/>
  <c r="X110" i="1"/>
  <c r="AD257" i="1"/>
  <c r="Y123" i="1"/>
  <c r="Z126" i="1"/>
  <c r="AA245" i="1"/>
  <c r="X22" i="1"/>
  <c r="Y132" i="1"/>
  <c r="Z99" i="1"/>
  <c r="Y301" i="1"/>
  <c r="AC158" i="1"/>
  <c r="Y96" i="1"/>
  <c r="Y165" i="1"/>
  <c r="Z284" i="1"/>
  <c r="AD60" i="1"/>
  <c r="X171" i="1"/>
  <c r="X183" i="1"/>
  <c r="Z73" i="1"/>
  <c r="Y221" i="1"/>
  <c r="X181" i="1"/>
  <c r="X204" i="1"/>
  <c r="AB37" i="1"/>
  <c r="AC99" i="1"/>
  <c r="AC31" i="1"/>
  <c r="Z237" i="1"/>
  <c r="AB171" i="1"/>
  <c r="AC268" i="1"/>
  <c r="AD235" i="1"/>
  <c r="AC32" i="1"/>
  <c r="AA76" i="1"/>
  <c r="AB138" i="1"/>
  <c r="AB70" i="1"/>
  <c r="AB282" i="1"/>
  <c r="Y229" i="1"/>
  <c r="AC309" i="1"/>
  <c r="AA281" i="1"/>
  <c r="AB71" i="1"/>
  <c r="Y33" i="1"/>
  <c r="AA177" i="1"/>
  <c r="X25" i="1"/>
  <c r="AA285" i="1"/>
  <c r="AC275" i="1"/>
  <c r="AA315" i="1"/>
  <c r="AC193" i="1"/>
  <c r="AA110" i="1"/>
  <c r="X72" i="1"/>
  <c r="AC42" i="1"/>
  <c r="AD63" i="1"/>
  <c r="AC141" i="1"/>
  <c r="AB291" i="1"/>
  <c r="AB153" i="1"/>
  <c r="AB123" i="1"/>
  <c r="Z149" i="1"/>
  <c r="AD110" i="1"/>
  <c r="AB81" i="1"/>
  <c r="Z18" i="1"/>
  <c r="AC210" i="1"/>
  <c r="AB116" i="1"/>
  <c r="AA218" i="1"/>
  <c r="AD199" i="1"/>
  <c r="X208" i="1"/>
  <c r="AD303" i="1"/>
  <c r="Z254" i="1"/>
  <c r="AA89" i="1"/>
  <c r="Z211" i="1"/>
  <c r="AD264" i="1"/>
  <c r="Y170" i="1"/>
  <c r="AC227" i="1"/>
  <c r="AA176" i="1"/>
  <c r="AC243" i="1"/>
  <c r="Y178" i="1"/>
  <c r="AD113" i="1"/>
  <c r="AD166" i="1"/>
  <c r="Y304" i="1"/>
  <c r="AD255" i="1"/>
  <c r="AA253" i="1"/>
  <c r="AD36" i="1"/>
  <c r="AA109" i="1"/>
  <c r="AA310" i="1"/>
  <c r="AB285" i="1"/>
  <c r="AD83" i="1"/>
  <c r="AB119" i="1"/>
  <c r="Y81" i="1"/>
  <c r="AD51" i="1"/>
  <c r="X73" i="1"/>
  <c r="Z162" i="1"/>
  <c r="AB296" i="1"/>
  <c r="X173" i="1"/>
  <c r="Z144" i="1"/>
  <c r="AA158" i="1"/>
  <c r="X120" i="1"/>
  <c r="AC90" i="1"/>
  <c r="X188" i="1"/>
  <c r="AB21" i="1"/>
  <c r="AC83" i="1"/>
  <c r="AC15" i="1"/>
  <c r="AD216" i="1"/>
  <c r="Y137" i="1"/>
  <c r="AA249" i="1"/>
  <c r="Z215" i="1"/>
  <c r="AC16" i="1"/>
  <c r="AA60" i="1"/>
  <c r="AB122" i="1"/>
  <c r="AB54" i="1"/>
  <c r="X265" i="1"/>
  <c r="Y208" i="1"/>
  <c r="Y293" i="1"/>
  <c r="X264" i="1"/>
  <c r="AB55" i="1"/>
  <c r="Y17" i="1"/>
  <c r="AA161" i="1"/>
  <c r="AA93" i="1"/>
  <c r="AB306" i="1"/>
  <c r="AB257" i="1"/>
  <c r="Y89" i="1"/>
  <c r="AB321" i="1"/>
  <c r="AA94" i="1"/>
  <c r="X56" i="1"/>
  <c r="AC26" i="1"/>
  <c r="AD47" i="1"/>
  <c r="Y105" i="1"/>
  <c r="Y300" i="1"/>
  <c r="X117" i="1"/>
  <c r="X78" i="1"/>
  <c r="Z133" i="1"/>
  <c r="AD94" i="1"/>
  <c r="AB65" i="1"/>
  <c r="AC86" i="1"/>
  <c r="AA187" i="1"/>
  <c r="Z57" i="1"/>
  <c r="X196" i="1"/>
  <c r="AD162" i="1"/>
  <c r="X282" i="1"/>
  <c r="AB58" i="1"/>
  <c r="AC168" i="1"/>
  <c r="AC178" i="1"/>
  <c r="Z55" i="1"/>
  <c r="Y218" i="1"/>
  <c r="AB177" i="1"/>
  <c r="AC201" i="1"/>
  <c r="Z35" i="1"/>
  <c r="AA97" i="1"/>
  <c r="AA29" i="1"/>
  <c r="AB234" i="1"/>
  <c r="Y167" i="1"/>
  <c r="Y266" i="1"/>
  <c r="Y233" i="1"/>
  <c r="AA30" i="1"/>
  <c r="Y74" i="1"/>
  <c r="Z136" i="1"/>
  <c r="Z68" i="1"/>
  <c r="Y280" i="1"/>
  <c r="AA226" i="1"/>
  <c r="AA307" i="1"/>
  <c r="X279" i="1"/>
  <c r="Z69" i="1"/>
  <c r="AD30" i="1"/>
  <c r="Y175" i="1"/>
  <c r="AC22" i="1"/>
  <c r="Z320" i="1"/>
  <c r="Z273" i="1"/>
  <c r="AB289" i="1"/>
  <c r="AA108" i="1"/>
  <c r="Y108" i="1"/>
  <c r="AC69" i="1"/>
  <c r="AA40" i="1"/>
  <c r="AB61" i="1"/>
  <c r="AD136" i="1"/>
  <c r="AD293" i="1"/>
  <c r="AC148" i="1"/>
  <c r="AC118" i="1"/>
  <c r="X147" i="1"/>
  <c r="AB108" i="1"/>
  <c r="Z79" i="1"/>
  <c r="X16" i="1"/>
  <c r="AD207" i="1"/>
  <c r="AC111" i="1"/>
  <c r="X215" i="1"/>
  <c r="AA196" i="1"/>
  <c r="AD185" i="1"/>
  <c r="AA147" i="1"/>
  <c r="Y118" i="1"/>
  <c r="AD54" i="1"/>
  <c r="Z257" i="1"/>
  <c r="AD191" i="1"/>
  <c r="AA263" i="1"/>
  <c r="AA319" i="1"/>
  <c r="Z121" i="1"/>
  <c r="AA114" i="1"/>
  <c r="Z205" i="1"/>
  <c r="Z40" i="1"/>
  <c r="Z132" i="1"/>
  <c r="Z251" i="1"/>
  <c r="AB225" i="1"/>
  <c r="Z203" i="1"/>
  <c r="Y210" i="1"/>
  <c r="X238" i="1"/>
  <c r="AB182" i="1"/>
  <c r="Y16" i="1"/>
  <c r="Y192" i="1"/>
  <c r="Z292" i="1"/>
  <c r="AB239" i="1"/>
  <c r="Y190" i="1"/>
  <c r="X276" i="1"/>
  <c r="AC186" i="1"/>
  <c r="Y219" i="1"/>
  <c r="AA291" i="1"/>
  <c r="X75" i="1"/>
  <c r="Y156" i="1"/>
  <c r="AC117" i="1"/>
  <c r="AA88" i="1"/>
  <c r="Y25" i="1"/>
  <c r="AD219" i="1"/>
  <c r="AA132" i="1"/>
  <c r="Z227" i="1"/>
  <c r="AC209" i="1"/>
  <c r="X195" i="1"/>
  <c r="AB156" i="1"/>
  <c r="Z127" i="1"/>
  <c r="AB224" i="1"/>
  <c r="Y58" i="1"/>
  <c r="Z120" i="1"/>
  <c r="Z52" i="1"/>
  <c r="AA262" i="1"/>
  <c r="Y205" i="1"/>
  <c r="AC290" i="1"/>
  <c r="Y261" i="1"/>
  <c r="Z53" i="1"/>
  <c r="X97" i="1"/>
  <c r="Y159" i="1"/>
  <c r="Y91" i="1"/>
  <c r="Z304" i="1"/>
  <c r="AC254" i="1"/>
  <c r="AA296" i="1"/>
  <c r="AB305" i="1"/>
  <c r="Y92" i="1"/>
  <c r="AC53" i="1"/>
  <c r="AA24" i="1"/>
  <c r="AB45" i="1"/>
  <c r="Z100" i="1"/>
  <c r="AA318" i="1"/>
  <c r="Y112" i="1"/>
  <c r="Y64" i="1"/>
  <c r="X131" i="1"/>
  <c r="AB92" i="1"/>
  <c r="Z63" i="1"/>
  <c r="AA84" i="1"/>
  <c r="Y183" i="1"/>
  <c r="X39" i="1"/>
  <c r="Z192" i="1"/>
  <c r="Z169" i="1"/>
  <c r="AD169" i="1"/>
  <c r="AA131" i="1"/>
  <c r="Y102" i="1"/>
  <c r="AD38" i="1"/>
  <c r="AA237" i="1"/>
  <c r="AC162" i="1"/>
  <c r="Y244" i="1"/>
  <c r="AA199" i="1"/>
  <c r="X33" i="1"/>
  <c r="Y95" i="1"/>
  <c r="Y27" i="1"/>
  <c r="AA231" i="1"/>
  <c r="AB162" i="1"/>
  <c r="Z263" i="1"/>
  <c r="AA230" i="1"/>
  <c r="Y28" i="1"/>
  <c r="AD71" i="1"/>
  <c r="X134" i="1"/>
  <c r="X66" i="1"/>
  <c r="AC277" i="1"/>
  <c r="AB223" i="1"/>
  <c r="Y305" i="1"/>
  <c r="AB276" i="1"/>
  <c r="X67" i="1"/>
  <c r="AB28" i="1"/>
  <c r="AD172" i="1"/>
  <c r="AA20" i="1"/>
  <c r="X318" i="1"/>
  <c r="AD270" i="1"/>
  <c r="AC264" i="1"/>
  <c r="AB319" i="1"/>
  <c r="AD105" i="1"/>
  <c r="AA67" i="1"/>
  <c r="Y38" i="1"/>
  <c r="Z59" i="1"/>
  <c r="AC130" i="1"/>
  <c r="AD241" i="1"/>
  <c r="AD143" i="1"/>
  <c r="X113" i="1"/>
  <c r="AC144" i="1"/>
  <c r="Z106" i="1"/>
  <c r="X77" i="1"/>
  <c r="Y98" i="1"/>
  <c r="AD204" i="1"/>
  <c r="AB105" i="1"/>
  <c r="Y212" i="1"/>
  <c r="AA193" i="1"/>
  <c r="AB183" i="1"/>
  <c r="Y145" i="1"/>
  <c r="AD115" i="1"/>
  <c r="AB52" i="1"/>
  <c r="Y254" i="1"/>
  <c r="AD187" i="1"/>
  <c r="AD260" i="1"/>
  <c r="AC298" i="1"/>
  <c r="AA222" i="1"/>
  <c r="X184" i="1"/>
  <c r="AC154" i="1"/>
  <c r="AC27" i="1"/>
  <c r="Z297" i="1"/>
  <c r="AB240" i="1"/>
  <c r="X303" i="1"/>
  <c r="Y78" i="1"/>
  <c r="Z137" i="1"/>
  <c r="X320" i="1"/>
  <c r="AA283" i="1"/>
  <c r="Y106" i="1"/>
  <c r="Z195" i="1"/>
  <c r="AB262" i="1"/>
  <c r="AC269" i="1"/>
  <c r="AB155" i="1"/>
  <c r="AA12" i="1"/>
  <c r="Z288" i="1"/>
  <c r="AC233" i="1"/>
  <c r="Z283" i="1"/>
  <c r="AD155" i="1"/>
  <c r="Y302" i="1"/>
  <c r="AC203" i="1"/>
  <c r="Z159" i="1"/>
  <c r="AC294" i="1"/>
  <c r="AD236" i="1"/>
  <c r="AA289" i="1"/>
  <c r="AC271" i="1"/>
  <c r="AD31" i="1"/>
  <c r="Z110" i="1"/>
  <c r="Z152" i="1"/>
  <c r="Y126" i="1"/>
  <c r="Y149" i="1"/>
  <c r="AB17" i="1"/>
  <c r="AB131" i="1"/>
  <c r="AA162" i="1"/>
  <c r="AB25" i="1"/>
  <c r="AA170" i="1"/>
  <c r="AA223" i="1"/>
  <c r="X160" i="1"/>
  <c r="Y15" i="1"/>
  <c r="AC270" i="1"/>
  <c r="AB221" i="1"/>
  <c r="X54" i="1"/>
  <c r="AA311" i="1"/>
  <c r="Y269" i="1"/>
  <c r="AD92" i="1"/>
  <c r="AC276" i="1"/>
  <c r="AC89" i="1"/>
  <c r="AA22" i="1"/>
  <c r="X21" i="1"/>
  <c r="AB128" i="1"/>
  <c r="Z61" i="1"/>
  <c r="Y158" i="1"/>
  <c r="AA167" i="1"/>
  <c r="Y100" i="1"/>
  <c r="X221" i="1"/>
  <c r="Z206" i="1"/>
  <c r="X139" i="1"/>
  <c r="X321" i="1"/>
  <c r="X35" i="1"/>
  <c r="AD177" i="1"/>
  <c r="X94" i="1"/>
  <c r="AD73" i="1"/>
  <c r="AB38" i="1"/>
  <c r="AB180" i="1"/>
  <c r="AC112" i="1"/>
  <c r="AA77" i="1"/>
  <c r="AA235" i="1"/>
  <c r="Z223" i="1"/>
  <c r="Y148" i="1"/>
  <c r="AB149" i="1"/>
  <c r="Z75" i="1"/>
  <c r="AA247" i="1"/>
  <c r="Y206" i="1"/>
  <c r="X82" i="1"/>
  <c r="AB299" i="1"/>
  <c r="AB303" i="1"/>
  <c r="AC105" i="1"/>
  <c r="AC263" i="1"/>
  <c r="Z290" i="1"/>
  <c r="X210" i="1"/>
  <c r="AB20" i="1"/>
  <c r="X304" i="1"/>
  <c r="AC126" i="1"/>
  <c r="AA294" i="1"/>
  <c r="Z253" i="1"/>
  <c r="Z301" i="1"/>
  <c r="AA297" i="1"/>
  <c r="Z277" i="1"/>
  <c r="AA192" i="1"/>
  <c r="AC225" i="1"/>
  <c r="X213" i="1"/>
  <c r="AB98" i="1"/>
  <c r="Z87" i="1"/>
  <c r="AA71" i="1"/>
  <c r="AC146" i="1"/>
  <c r="Z268" i="1"/>
  <c r="Z74" i="1"/>
  <c r="Y225" i="1"/>
  <c r="AA146" i="1"/>
  <c r="AB194" i="1"/>
  <c r="Y282" i="1"/>
  <c r="AD146" i="1"/>
  <c r="X43" i="1"/>
  <c r="AA198" i="1"/>
  <c r="AC185" i="1"/>
  <c r="AD81" i="1"/>
  <c r="Y168" i="1"/>
  <c r="AA220" i="1"/>
  <c r="AC189" i="1"/>
  <c r="X207" i="1"/>
  <c r="AD267" i="1"/>
  <c r="AC12" i="1"/>
  <c r="AC51" i="1"/>
  <c r="Y309" i="1"/>
  <c r="Z13" i="1"/>
  <c r="AB90" i="1"/>
  <c r="Z247" i="1"/>
  <c r="AD50" i="1"/>
  <c r="AA129" i="1"/>
  <c r="X37" i="1"/>
  <c r="Z245" i="1"/>
  <c r="X59" i="1"/>
  <c r="Z153" i="1"/>
  <c r="Z28" i="1"/>
  <c r="AD97" i="1"/>
  <c r="AB217" i="1"/>
  <c r="Y67" i="1"/>
  <c r="AC136" i="1"/>
  <c r="X305" i="1"/>
  <c r="X106" i="1"/>
  <c r="AB175" i="1"/>
  <c r="AD84" i="1"/>
  <c r="AD144" i="1"/>
  <c r="Z36" i="1"/>
  <c r="Z176" i="1"/>
  <c r="AC183" i="1"/>
  <c r="Y75" i="1"/>
  <c r="AC232" i="1"/>
  <c r="AB222" i="1"/>
  <c r="AB29" i="1"/>
  <c r="AB278" i="1"/>
  <c r="AC173" i="1"/>
  <c r="AC250" i="1"/>
  <c r="AB185" i="1"/>
  <c r="X50" i="1"/>
  <c r="AC68" i="1"/>
  <c r="AC230" i="1"/>
  <c r="Y312" i="1"/>
  <c r="Z249" i="1"/>
  <c r="X242" i="1"/>
  <c r="AB111" i="1"/>
  <c r="AB141" i="1"/>
  <c r="AB302" i="1"/>
  <c r="AB250" i="1"/>
  <c r="AD213" i="1"/>
  <c r="AD150" i="1"/>
  <c r="AB121" i="1"/>
  <c r="AA96" i="1"/>
  <c r="Y48" i="1"/>
  <c r="AA258" i="1"/>
  <c r="X130" i="1"/>
  <c r="X112" i="1"/>
  <c r="Z151" i="1"/>
  <c r="Y238" i="1"/>
  <c r="AC299" i="1"/>
  <c r="Y119" i="1"/>
  <c r="Y166" i="1"/>
  <c r="AB263" i="1"/>
  <c r="X244" i="1"/>
  <c r="AA35" i="1"/>
  <c r="AB190" i="1"/>
  <c r="AC108" i="1"/>
  <c r="AA290" i="1"/>
  <c r="Z221" i="1"/>
  <c r="AA183" i="1"/>
  <c r="Y116" i="1"/>
  <c r="Z246" i="1"/>
  <c r="Z222" i="1"/>
  <c r="X12" i="1"/>
  <c r="AC204" i="1"/>
  <c r="Z265" i="1"/>
  <c r="AB13" i="1"/>
  <c r="AA49" i="1"/>
  <c r="AD306" i="1"/>
  <c r="Z46" i="1"/>
  <c r="Z88" i="1"/>
  <c r="Y310" i="1"/>
  <c r="Y85" i="1"/>
  <c r="Y127" i="1"/>
  <c r="AC18" i="1"/>
  <c r="X124" i="1"/>
  <c r="X166" i="1"/>
  <c r="AD157" i="1"/>
  <c r="AB62" i="1"/>
  <c r="AB95" i="1"/>
  <c r="AC214" i="1"/>
  <c r="AA101" i="1"/>
  <c r="AA134" i="1"/>
  <c r="AA295" i="1"/>
  <c r="Z140" i="1"/>
  <c r="Z173" i="1"/>
  <c r="AB75" i="1"/>
  <c r="Y179" i="1"/>
  <c r="X34" i="1"/>
  <c r="AA172" i="1"/>
  <c r="X218" i="1"/>
  <c r="AD72" i="1"/>
  <c r="X230" i="1"/>
  <c r="AD256" i="1"/>
  <c r="Z27" i="1"/>
  <c r="Y276" i="1"/>
  <c r="AC295" i="1"/>
  <c r="Y66" i="1"/>
  <c r="AB316" i="1"/>
  <c r="AA269" i="1"/>
  <c r="AA299" i="1"/>
  <c r="X108" i="1"/>
  <c r="X220" i="1"/>
  <c r="AC152" i="1"/>
  <c r="AB246" i="1"/>
  <c r="AC48" i="1"/>
  <c r="AC13" i="1"/>
  <c r="AB56" i="1"/>
  <c r="AB304" i="1"/>
  <c r="X44" i="1"/>
  <c r="AA95" i="1"/>
  <c r="AB309" i="1"/>
  <c r="AD82" i="1"/>
  <c r="Z134" i="1"/>
  <c r="X292" i="1"/>
  <c r="AC121" i="1"/>
  <c r="AD17" i="1"/>
  <c r="X153" i="1"/>
  <c r="AB160" i="1"/>
  <c r="AC56" i="1"/>
  <c r="Z217" i="1"/>
  <c r="Y99" i="1"/>
  <c r="AB50" i="1"/>
  <c r="AC285" i="1"/>
  <c r="X138" i="1"/>
  <c r="AB114" i="1"/>
  <c r="AB59" i="1"/>
  <c r="AD176" i="1"/>
  <c r="Y194" i="1"/>
  <c r="AA168" i="1"/>
  <c r="AC215" i="1"/>
  <c r="AB245" i="1"/>
  <c r="AD226" i="1"/>
  <c r="AB254" i="1"/>
  <c r="AC289" i="1"/>
  <c r="AC273" i="1"/>
  <c r="AA293" i="1"/>
  <c r="AD320" i="1"/>
  <c r="Z314" i="1"/>
  <c r="AC46" i="1"/>
  <c r="AB161" i="1"/>
  <c r="AB41" i="1"/>
  <c r="AA48" i="1"/>
  <c r="AA113" i="1"/>
  <c r="AC150" i="1"/>
  <c r="AD259" i="1"/>
  <c r="AB157" i="1"/>
  <c r="Z103" i="1"/>
  <c r="AB212" i="1"/>
  <c r="AD141" i="1"/>
  <c r="Y242" i="1"/>
  <c r="Y94" i="1"/>
  <c r="Z256" i="1"/>
  <c r="AC75" i="1"/>
  <c r="X157" i="1"/>
  <c r="Y214" i="1"/>
  <c r="Y181" i="1"/>
  <c r="Y224" i="1"/>
  <c r="Z271" i="1"/>
  <c r="AC159" i="1"/>
  <c r="AB191" i="1"/>
  <c r="Y277" i="1"/>
  <c r="Y69" i="1"/>
  <c r="AA264" i="1"/>
  <c r="X133" i="1"/>
  <c r="AD114" i="1"/>
  <c r="AB286" i="1"/>
  <c r="AC78" i="1"/>
  <c r="AA123" i="1"/>
  <c r="Z199" i="1"/>
  <c r="X297" i="1"/>
  <c r="AD151" i="1"/>
  <c r="Z242" i="1"/>
  <c r="AB188" i="1"/>
  <c r="X209" i="1"/>
  <c r="AB147" i="1"/>
  <c r="X70" i="1"/>
  <c r="Z235" i="1"/>
  <c r="Y86" i="1"/>
  <c r="AD107" i="1"/>
  <c r="AA46" i="1"/>
  <c r="Z189" i="1"/>
  <c r="Y122" i="1"/>
  <c r="Z85" i="1"/>
  <c r="AC41" i="1"/>
  <c r="AC129" i="1"/>
  <c r="AD297" i="1"/>
  <c r="AB80" i="1"/>
  <c r="AB168" i="1"/>
  <c r="Y245" i="1"/>
  <c r="AA119" i="1"/>
  <c r="Y52" i="1"/>
  <c r="Z147" i="1"/>
  <c r="Z158" i="1"/>
  <c r="X91" i="1"/>
  <c r="AA214" i="1"/>
  <c r="Y197" i="1"/>
  <c r="AD129" i="1"/>
  <c r="AD262" i="1"/>
  <c r="AC135" i="1"/>
  <c r="Y187" i="1"/>
  <c r="Z41" i="1"/>
  <c r="AB174" i="1"/>
  <c r="AD239" i="1"/>
  <c r="AD163" i="1"/>
  <c r="AA213" i="1"/>
  <c r="AD284" i="1"/>
  <c r="X224" i="1"/>
  <c r="Z252" i="1"/>
  <c r="Z295" i="1"/>
  <c r="Y291" i="1"/>
  <c r="AB274" i="1"/>
  <c r="X312" i="1"/>
  <c r="AA44" i="1"/>
  <c r="AC125" i="1"/>
  <c r="Z23" i="1"/>
  <c r="Z83" i="1"/>
  <c r="X201" i="1"/>
  <c r="X161" i="1"/>
  <c r="Y80" i="1"/>
  <c r="AA236" i="1"/>
  <c r="AD202" i="1"/>
  <c r="Z156" i="1"/>
  <c r="AC47" i="1"/>
  <c r="AD195" i="1"/>
  <c r="Y195" i="1"/>
  <c r="Z78" i="1"/>
  <c r="Z166" i="1"/>
  <c r="AD304" i="1"/>
  <c r="Y117" i="1"/>
  <c r="AD49" i="1"/>
  <c r="Z130" i="1"/>
  <c r="X156" i="1"/>
  <c r="AC88" i="1"/>
  <c r="AA137" i="1"/>
  <c r="AD194" i="1"/>
  <c r="AB127" i="1"/>
  <c r="AA208" i="1"/>
  <c r="AB23" i="1"/>
  <c r="AA166" i="1"/>
  <c r="AA278" i="1"/>
  <c r="Z172" i="1"/>
  <c r="Y237" i="1"/>
  <c r="AD307" i="1"/>
  <c r="Y211" i="1"/>
  <c r="AA282" i="1"/>
  <c r="AD75" i="1"/>
  <c r="X250" i="1"/>
  <c r="AB311" i="1"/>
  <c r="Y173" i="1"/>
  <c r="AD288" i="1"/>
  <c r="AB233" i="1"/>
  <c r="Z230" i="1"/>
  <c r="Y42" i="1"/>
  <c r="AD120" i="1"/>
  <c r="AA276" i="1"/>
  <c r="X81" i="1"/>
  <c r="X198" i="1"/>
  <c r="Y319" i="1"/>
  <c r="AC37" i="1"/>
  <c r="AB248" i="1"/>
  <c r="AC319" i="1"/>
  <c r="Z219" i="1"/>
  <c r="Y57" i="1"/>
  <c r="AD122" i="1"/>
  <c r="AA257" i="1"/>
  <c r="AD139" i="1"/>
  <c r="AA190" i="1"/>
  <c r="AD305" i="1"/>
  <c r="AB151" i="1"/>
  <c r="AD193" i="1"/>
  <c r="AC122" i="1"/>
  <c r="AD153" i="1"/>
  <c r="X119" i="1"/>
  <c r="Z207" i="1"/>
  <c r="AB310" i="1"/>
  <c r="Z300" i="1"/>
  <c r="AA173" i="1"/>
  <c r="Z84" i="1"/>
  <c r="AB47" i="1"/>
  <c r="AC127" i="1"/>
  <c r="AC153" i="1"/>
  <c r="AA86" i="1"/>
  <c r="Y202" i="1"/>
  <c r="AB192" i="1"/>
  <c r="Z125" i="1"/>
  <c r="AC265" i="1"/>
  <c r="Z21" i="1"/>
  <c r="Y164" i="1"/>
  <c r="AC284" i="1"/>
  <c r="Y60" i="1"/>
  <c r="AD24" i="1"/>
  <c r="AA153" i="1"/>
  <c r="AD208" i="1"/>
  <c r="X280" i="1"/>
  <c r="AA164" i="1"/>
  <c r="AC247" i="1"/>
  <c r="Y320" i="1"/>
  <c r="Z224" i="1"/>
  <c r="AD189" i="1"/>
  <c r="AB271" i="1"/>
  <c r="AD39" i="1"/>
  <c r="AC114" i="1"/>
  <c r="Z312" i="1"/>
  <c r="Z194" i="1"/>
  <c r="AA279" i="1"/>
  <c r="AD245" i="1"/>
  <c r="AD289" i="1"/>
  <c r="AB264" i="1"/>
  <c r="AC259" i="1"/>
  <c r="AA201" i="1"/>
  <c r="Z248" i="1"/>
  <c r="AA203" i="1"/>
  <c r="Z188" i="1"/>
  <c r="AD296" i="1"/>
  <c r="AD212" i="1"/>
  <c r="AA121" i="1"/>
  <c r="Y87" i="1"/>
  <c r="Z289" i="1"/>
  <c r="X275" i="1"/>
  <c r="AB315" i="1"/>
  <c r="AA305" i="1"/>
  <c r="Z116" i="1"/>
  <c r="AA189" i="1"/>
  <c r="Y290" i="1"/>
  <c r="X277" i="1"/>
  <c r="AD250" i="1"/>
  <c r="Y188" i="1"/>
  <c r="AD29" i="1"/>
  <c r="AD188" i="1"/>
  <c r="AA229" i="1"/>
  <c r="X266" i="1"/>
  <c r="AD301" i="1"/>
  <c r="AD285" i="1"/>
  <c r="Z19" i="1"/>
  <c r="AA270" i="1"/>
  <c r="Y84" i="1"/>
  <c r="AC198" i="1"/>
  <c r="AA53" i="1"/>
  <c r="X123" i="1"/>
  <c r="Y263" i="1"/>
  <c r="Z92" i="1"/>
  <c r="AD161" i="1"/>
  <c r="AA242" i="1"/>
  <c r="Y131" i="1"/>
  <c r="AB22" i="1"/>
  <c r="AB148" i="1"/>
  <c r="X170" i="1"/>
  <c r="AA61" i="1"/>
  <c r="AD214" i="1"/>
  <c r="AD206" i="1"/>
  <c r="AD317" i="1"/>
  <c r="AA221" i="1"/>
  <c r="AC245" i="1"/>
  <c r="Y114" i="1"/>
  <c r="X269" i="1"/>
  <c r="AD37" i="1"/>
  <c r="AD109" i="1"/>
  <c r="X310" i="1"/>
  <c r="AC76" i="1"/>
  <c r="Y191" i="1"/>
  <c r="Y256" i="1"/>
  <c r="AB115" i="1"/>
  <c r="AC242" i="1"/>
  <c r="AB118" i="1"/>
  <c r="AA154" i="1"/>
  <c r="AA287" i="1"/>
  <c r="Z196" i="1"/>
  <c r="Z193" i="1"/>
  <c r="AD313" i="1"/>
  <c r="Y247" i="1"/>
  <c r="Y222" i="1"/>
  <c r="X214" i="1"/>
  <c r="AC267" i="1"/>
  <c r="X165" i="1"/>
  <c r="AB144" i="1"/>
  <c r="AD127" i="1"/>
  <c r="Z239" i="1"/>
  <c r="Y113" i="1"/>
  <c r="AB284" i="1"/>
  <c r="Z123" i="1"/>
  <c r="AA115" i="1"/>
  <c r="AA124" i="1"/>
  <c r="X267" i="1"/>
  <c r="AD111" i="1"/>
  <c r="AD76" i="1"/>
  <c r="AC134" i="1"/>
  <c r="Y313" i="1"/>
  <c r="AD55" i="1"/>
  <c r="AC120" i="1"/>
  <c r="AB260" i="1"/>
  <c r="AB159" i="1"/>
  <c r="AA178" i="1"/>
  <c r="AA165" i="1"/>
  <c r="AC143" i="1"/>
  <c r="Z204" i="1"/>
  <c r="X212" i="1"/>
  <c r="X98" i="1"/>
  <c r="Z33" i="1"/>
  <c r="AA266" i="1"/>
  <c r="X105" i="1"/>
  <c r="X111" i="1"/>
  <c r="AC236" i="1"/>
  <c r="AD149" i="1"/>
  <c r="AA112" i="1"/>
  <c r="X285" i="1"/>
  <c r="AA33" i="1"/>
  <c r="AA244" i="1"/>
  <c r="AB146" i="1"/>
  <c r="Y306" i="1"/>
  <c r="X260" i="1"/>
  <c r="Z178" i="1"/>
  <c r="Y174" i="1"/>
  <c r="X159" i="1"/>
  <c r="X135" i="1"/>
  <c r="Z161" i="1"/>
  <c r="AA256" i="1"/>
  <c r="AC49" i="1"/>
  <c r="AB53" i="1"/>
  <c r="AB288" i="1"/>
  <c r="AA92" i="1"/>
  <c r="X69" i="1"/>
  <c r="AD170" i="1"/>
  <c r="AB137" i="1"/>
  <c r="X202" i="1"/>
  <c r="AD240" i="1"/>
  <c r="X258" i="1"/>
  <c r="AB300" i="1"/>
  <c r="AD69" i="1"/>
  <c r="AA200" i="1"/>
  <c r="AA186" i="1"/>
  <c r="Y246" i="1"/>
  <c r="Z286" i="1"/>
  <c r="Z119" i="1"/>
  <c r="AA117" i="1"/>
  <c r="X283" i="1"/>
  <c r="AD178" i="1"/>
  <c r="AC40" i="1"/>
  <c r="AB74" i="1"/>
  <c r="X17" i="1"/>
  <c r="AA250" i="1"/>
  <c r="AC87" i="1"/>
  <c r="AB126" i="1"/>
  <c r="Z20" i="1"/>
  <c r="Y59" i="1"/>
  <c r="Y243" i="1"/>
  <c r="AC260" i="1"/>
  <c r="AC312" i="1"/>
  <c r="Y72" i="1"/>
  <c r="AC307" i="1"/>
  <c r="Z187" i="1"/>
  <c r="X240" i="1"/>
  <c r="AC188" i="1"/>
  <c r="X193" i="1"/>
  <c r="AA302" i="1"/>
  <c r="Z72" i="1"/>
  <c r="AC288" i="1"/>
  <c r="AC194" i="1"/>
  <c r="AA150" i="1"/>
  <c r="Z114" i="1"/>
  <c r="Y32" i="1"/>
  <c r="AA50" i="1"/>
  <c r="AD198" i="1"/>
  <c r="AC261" i="1"/>
  <c r="Z124" i="1"/>
  <c r="AB228" i="1"/>
  <c r="AC279" i="1"/>
  <c r="AA320" i="1"/>
  <c r="AB107" i="1"/>
  <c r="Y31" i="1"/>
  <c r="AD108" i="1"/>
  <c r="X231" i="1"/>
  <c r="AA207" i="1"/>
  <c r="AC184" i="1"/>
  <c r="AC34" i="1"/>
  <c r="Y90" i="1"/>
  <c r="AB210" i="1"/>
  <c r="AD274" i="1"/>
  <c r="AD46" i="1"/>
  <c r="AD160" i="1"/>
  <c r="X223" i="1"/>
  <c r="AC132" i="1"/>
  <c r="AC199" i="1"/>
  <c r="X270" i="1"/>
  <c r="AB205" i="1"/>
  <c r="AB238" i="1"/>
  <c r="X311" i="1"/>
  <c r="Z255" i="1"/>
  <c r="AA277" i="1"/>
  <c r="AD314" i="1"/>
  <c r="Y298" i="1"/>
  <c r="AC30" i="1"/>
  <c r="AA91" i="1"/>
  <c r="AA284" i="1"/>
  <c r="AA106" i="1"/>
  <c r="Z105" i="1"/>
  <c r="Z182" i="1"/>
  <c r="Z145" i="1"/>
  <c r="AB187" i="1"/>
  <c r="AC102" i="1"/>
  <c r="Y184" i="1"/>
  <c r="Z240" i="1"/>
  <c r="Z185" i="1"/>
  <c r="AD28" i="1"/>
  <c r="Z285" i="1"/>
  <c r="X239" i="1"/>
  <c r="AC67" i="1"/>
  <c r="X307" i="1"/>
  <c r="AD283" i="1"/>
  <c r="AB106" i="1"/>
  <c r="AC196" i="1"/>
  <c r="AA239" i="1"/>
  <c r="AA145" i="1"/>
  <c r="AC110" i="1"/>
  <c r="AA128" i="1"/>
  <c r="AD87" i="1"/>
  <c r="Z49" i="1"/>
  <c r="AD273" i="1"/>
  <c r="AC274" i="1"/>
  <c r="Y88" i="1"/>
  <c r="Z186" i="1"/>
  <c r="Z210" i="1"/>
  <c r="AD292" i="1"/>
  <c r="AC239" i="1"/>
  <c r="X38" i="1"/>
  <c r="Z77" i="1"/>
  <c r="AA120" i="1"/>
  <c r="Z261" i="1"/>
  <c r="Y196" i="1"/>
  <c r="AD22" i="1"/>
  <c r="Y30" i="1"/>
  <c r="AA45" i="1"/>
  <c r="X313" i="1"/>
  <c r="X115" i="1"/>
  <c r="Z216" i="1"/>
  <c r="X151" i="1"/>
  <c r="Y34" i="1"/>
  <c r="Y71" i="1"/>
  <c r="X298" i="1"/>
  <c r="AB219" i="1"/>
  <c r="AC155" i="1"/>
  <c r="X232" i="1"/>
  <c r="X296" i="1"/>
  <c r="X315" i="1"/>
  <c r="AD77" i="1"/>
  <c r="AC272" i="1"/>
  <c r="AA31" i="1"/>
  <c r="AD18" i="1"/>
  <c r="Z318" i="1"/>
  <c r="Y109" i="1"/>
  <c r="AB96" i="1"/>
  <c r="AD91" i="1"/>
  <c r="X180" i="1"/>
  <c r="AA70" i="1"/>
  <c r="Y213" i="1"/>
  <c r="AB280" i="1"/>
  <c r="Y130" i="1"/>
  <c r="AB133" i="1"/>
  <c r="AC79" i="1"/>
  <c r="AD258" i="1"/>
  <c r="X217" i="1"/>
  <c r="X127" i="1"/>
  <c r="X257" i="1"/>
  <c r="Y144" i="1"/>
  <c r="AD165" i="1"/>
  <c r="AA197" i="1"/>
  <c r="AA267" i="1"/>
  <c r="AC222" i="1"/>
  <c r="Z236" i="1"/>
  <c r="AC308" i="1"/>
  <c r="X144" i="1"/>
  <c r="Y275" i="1"/>
  <c r="X289" i="1"/>
  <c r="Z212" i="1"/>
  <c r="AA28" i="1"/>
  <c r="Z82" i="1"/>
  <c r="X261" i="1"/>
  <c r="Z67" i="1"/>
  <c r="Z175" i="1"/>
  <c r="Y303" i="1"/>
  <c r="X143" i="1"/>
  <c r="Z183" i="1"/>
  <c r="AB139" i="1"/>
  <c r="AD181" i="1"/>
  <c r="AB237" i="1"/>
  <c r="AD209" i="1"/>
  <c r="AB26" i="1"/>
  <c r="AD282" i="1"/>
  <c r="AD12" i="1"/>
  <c r="AA65" i="1"/>
  <c r="AC292" i="1"/>
  <c r="AC25" i="1"/>
  <c r="Z104" i="1"/>
  <c r="AB169" i="1"/>
  <c r="AB64" i="1"/>
  <c r="Y143" i="1"/>
  <c r="AA105" i="1"/>
  <c r="AA103" i="1"/>
  <c r="X182" i="1"/>
  <c r="AC187" i="1"/>
  <c r="Y111" i="1"/>
  <c r="AC147" i="1"/>
  <c r="AC303" i="1"/>
  <c r="AB186" i="1"/>
  <c r="AD224" i="1"/>
  <c r="X162" i="1"/>
  <c r="X149" i="1"/>
  <c r="X262" i="1"/>
  <c r="Y200" i="1"/>
  <c r="Y297" i="1"/>
  <c r="AB209" i="1"/>
  <c r="AD44" i="1"/>
  <c r="X234" i="1"/>
  <c r="AA306" i="1"/>
  <c r="AD205" i="1"/>
  <c r="AD272" i="1"/>
  <c r="AB244" i="1"/>
  <c r="AB255" i="1"/>
  <c r="Y26" i="1"/>
  <c r="X71" i="1"/>
  <c r="AA298" i="1"/>
  <c r="X65" i="1"/>
  <c r="Y171" i="1"/>
  <c r="AD123" i="1"/>
  <c r="AC21" i="1"/>
  <c r="AC228" i="1"/>
  <c r="X87" i="1"/>
  <c r="AB179" i="1"/>
  <c r="AD234" i="1"/>
  <c r="AC14" i="1"/>
  <c r="Z24" i="1"/>
  <c r="AA280" i="1"/>
  <c r="Y21" i="1"/>
  <c r="Y63" i="1"/>
  <c r="AB320" i="1"/>
  <c r="X60" i="1"/>
  <c r="X102" i="1"/>
  <c r="AD134" i="1"/>
  <c r="AD98" i="1"/>
  <c r="AD140" i="1"/>
  <c r="AB100" i="1"/>
  <c r="AC137" i="1"/>
  <c r="AC179" i="1"/>
  <c r="AD183" i="1"/>
  <c r="AB176" i="1"/>
  <c r="X45" i="1"/>
  <c r="AC237" i="1"/>
  <c r="X187" i="1"/>
  <c r="X254" i="1"/>
  <c r="AB120" i="1"/>
  <c r="AD135" i="1"/>
  <c r="AC170" i="1"/>
  <c r="AA159" i="1"/>
  <c r="AB76" i="1"/>
  <c r="Z146" i="1"/>
  <c r="AD59" i="1"/>
  <c r="AC293" i="1"/>
  <c r="AC36" i="1"/>
  <c r="AC50" i="1"/>
  <c r="AD116" i="1"/>
  <c r="AD222" i="1"/>
  <c r="Y287" i="1"/>
  <c r="AA204" i="1"/>
  <c r="AA216" i="1"/>
  <c r="AB42" i="1"/>
  <c r="Y260" i="1"/>
  <c r="AC255" i="1"/>
  <c r="AA81" i="1"/>
  <c r="AA312" i="1"/>
  <c r="AD252" i="1"/>
  <c r="Y24" i="1"/>
  <c r="AC52" i="1"/>
  <c r="X63" i="1"/>
  <c r="AC166" i="1"/>
  <c r="AD101" i="1"/>
  <c r="X226" i="1"/>
  <c r="AC140" i="1"/>
  <c r="AB14" i="1"/>
  <c r="X278" i="1"/>
  <c r="Z70" i="1"/>
  <c r="AC57" i="1"/>
  <c r="Y308" i="1"/>
  <c r="X148" i="1"/>
  <c r="AA135" i="1"/>
  <c r="AB31" i="1"/>
  <c r="Z174" i="1"/>
  <c r="X235" i="1"/>
  <c r="Z109" i="1"/>
  <c r="AA27" i="1"/>
  <c r="Y43" i="1"/>
  <c r="AB195" i="1"/>
  <c r="AA122" i="1"/>
  <c r="AC244" i="1"/>
  <c r="Y79" i="1"/>
  <c r="AB268" i="1"/>
  <c r="Y296" i="1"/>
  <c r="X118" i="1"/>
  <c r="AA58" i="1"/>
  <c r="AA34" i="1"/>
  <c r="AB293" i="1"/>
  <c r="Z97" i="1"/>
  <c r="Y162" i="1"/>
  <c r="AC286" i="1"/>
  <c r="Y136" i="1"/>
  <c r="Y223" i="1"/>
  <c r="Y62" i="1"/>
  <c r="X175" i="1"/>
  <c r="Y270" i="1"/>
  <c r="Y169" i="1"/>
  <c r="AC19" i="1"/>
  <c r="Y311" i="1"/>
  <c r="AB16" i="1"/>
  <c r="AB104" i="1"/>
  <c r="X316" i="1"/>
  <c r="AA55" i="1"/>
  <c r="AA143" i="1"/>
  <c r="AA274" i="1"/>
  <c r="Z94" i="1"/>
  <c r="X27" i="1"/>
  <c r="AC82" i="1"/>
  <c r="Y133" i="1"/>
  <c r="AD65" i="1"/>
  <c r="AD175" i="1"/>
  <c r="X172" i="1"/>
  <c r="AC104" i="1"/>
  <c r="Z232" i="1"/>
  <c r="AD210" i="1"/>
  <c r="AB143" i="1"/>
  <c r="Y278" i="1"/>
  <c r="AB39" i="1"/>
  <c r="AA182" i="1"/>
  <c r="AC139" i="1"/>
  <c r="AB256" i="1"/>
  <c r="AC317" i="1"/>
  <c r="AA59" i="1"/>
  <c r="AB253" i="1"/>
  <c r="AB297" i="1"/>
  <c r="Z32" i="1"/>
  <c r="Z47" i="1"/>
  <c r="AB66" i="1"/>
  <c r="Z296" i="1"/>
  <c r="AD261" i="1"/>
  <c r="Z308" i="1"/>
  <c r="AA300" i="1"/>
  <c r="Y248" i="1"/>
  <c r="AA47" i="1"/>
  <c r="AC258" i="1"/>
  <c r="AC157" i="1"/>
  <c r="AB301" i="1"/>
  <c r="Y37" i="1"/>
  <c r="AC115" i="1"/>
  <c r="AD286" i="1"/>
  <c r="X76" i="1"/>
  <c r="AB154" i="1"/>
  <c r="X95" i="1"/>
  <c r="Y314" i="1"/>
  <c r="AC321" i="1"/>
  <c r="AD133" i="1"/>
  <c r="Z71" i="1"/>
  <c r="AD43" i="1"/>
  <c r="AC172" i="1"/>
  <c r="AA171" i="1"/>
  <c r="AB164" i="1"/>
  <c r="AA17" i="1"/>
  <c r="X229" i="1"/>
  <c r="AA224" i="1"/>
  <c r="Z56" i="1"/>
  <c r="AB275" i="1"/>
  <c r="Y53" i="1"/>
  <c r="Y141" i="1"/>
  <c r="AA268" i="1"/>
  <c r="X92" i="1"/>
  <c r="AC24" i="1"/>
  <c r="AA316" i="1"/>
  <c r="AD130" i="1"/>
  <c r="AB63" i="1"/>
  <c r="AB57" i="1"/>
  <c r="AC169" i="1"/>
  <c r="AA102" i="1"/>
  <c r="AD167" i="1"/>
  <c r="AB208" i="1"/>
  <c r="Z141" i="1"/>
  <c r="AC226" i="1"/>
  <c r="Z37" i="1"/>
  <c r="Y180" i="1"/>
  <c r="Y253" i="1"/>
  <c r="Y76" i="1"/>
  <c r="AD40" i="1"/>
  <c r="Y107" i="1"/>
  <c r="AC207" i="1"/>
  <c r="Z80" i="1"/>
  <c r="AC249" i="1"/>
  <c r="X227" i="1"/>
  <c r="AB117" i="1"/>
  <c r="X291" i="1"/>
  <c r="AA38" i="1"/>
  <c r="X293" i="1"/>
  <c r="Z291" i="1"/>
  <c r="AD196" i="1"/>
  <c r="Y146" i="1"/>
  <c r="AA309" i="1"/>
  <c r="AD197" i="1"/>
  <c r="X155" i="1"/>
  <c r="Z299" i="1"/>
  <c r="AA116" i="1"/>
  <c r="AB109" i="1"/>
  <c r="Y163" i="1"/>
  <c r="X222" i="1"/>
  <c r="AC241" i="1"/>
  <c r="AB78" i="1"/>
  <c r="Z142" i="1"/>
  <c r="AB298" i="1"/>
  <c r="K322" i="1" l="1"/>
  <c r="B3" i="7"/>
  <c r="Q2" i="7" l="1" a="1"/>
  <c r="Q2" i="7" s="1"/>
  <c r="B4" i="7" l="1"/>
  <c r="B3" i="1" l="1"/>
  <c r="J10" i="1"/>
  <c r="J9" i="1" s="1"/>
  <c r="S2" i="7" a="1"/>
  <c r="S2" i="7" s="1"/>
  <c r="M120" i="1"/>
  <c r="B325" i="1"/>
  <c r="B326" i="1" s="1" a="1"/>
  <c r="B326" i="1" s="1"/>
  <c r="B2" i="7" l="1"/>
  <c r="B324" i="1"/>
  <c r="I10" i="1" l="1"/>
  <c r="H10" i="1" l="1"/>
  <c r="I9" i="1"/>
  <c r="G10" i="1" l="1"/>
  <c r="H9" i="1"/>
  <c r="G9" i="1" l="1"/>
  <c r="F10" i="1"/>
  <c r="AA11" i="1"/>
  <c r="Y11" i="1"/>
  <c r="AD11" i="1"/>
  <c r="Z11" i="1"/>
  <c r="AC11" i="1"/>
  <c r="AB11" i="1"/>
  <c r="X11" i="1"/>
  <c r="B2" i="1" l="1"/>
  <c r="F9" i="1"/>
  <c r="E10" i="1"/>
  <c r="D10" i="1" s="1"/>
  <c r="E9" i="1" l="1"/>
  <c r="H4" i="1" l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<sst xmlns="http://schemas.openxmlformats.org/spreadsheetml/2006/main" count="1619" uniqueCount="186">
  <si>
    <t>Date</t>
  </si>
  <si>
    <t>Hours</t>
  </si>
  <si>
    <t>Comment</t>
  </si>
  <si>
    <t>Enable Safety Check:</t>
  </si>
  <si>
    <t>Timesheet for week ending:</t>
  </si>
  <si>
    <t>Total</t>
  </si>
  <si>
    <t>Link To Task</t>
  </si>
  <si>
    <t>Entry Count</t>
  </si>
  <si>
    <t>Instructions</t>
  </si>
  <si>
    <t>Number of Time Entries:</t>
  </si>
  <si>
    <t>The Task List sheet is used to retrieve your tasks from Wrike.</t>
  </si>
  <si>
    <t>Number of Tasks Used:</t>
  </si>
  <si>
    <t>See the instructions there for retrieving tasks.</t>
  </si>
  <si>
    <t>Number of Invalid Tasks:</t>
  </si>
  <si>
    <t>In the timesheet above, use the Task drop down to select a task.</t>
  </si>
  <si>
    <t>Wrike Timesheet Template Version 1.1</t>
  </si>
  <si>
    <t>Enter hours and comments as needed.</t>
  </si>
  <si>
    <t>Weekly, use the UiPath Wrike Timesheet app to Upload Time Entries to Wrike</t>
  </si>
  <si>
    <t>Tasks highlighted in red were completed or removed from your filter list.</t>
  </si>
  <si>
    <t>Category</t>
  </si>
  <si>
    <t>C-AIM</t>
  </si>
  <si>
    <t>C-Albemarle</t>
  </si>
  <si>
    <t>C-Anthem</t>
  </si>
  <si>
    <t>C-Caremore</t>
  </si>
  <si>
    <t>C-HCA</t>
  </si>
  <si>
    <t>C-NGS</t>
  </si>
  <si>
    <t>C-SBA Communications</t>
  </si>
  <si>
    <t>D-Team</t>
  </si>
  <si>
    <t>Skip</t>
  </si>
  <si>
    <t>E-External</t>
  </si>
  <si>
    <t>I-Focus Time</t>
  </si>
  <si>
    <t>C-US Celluar</t>
  </si>
  <si>
    <t>I-Training</t>
  </si>
  <si>
    <t>I-Admin</t>
  </si>
  <si>
    <t>z-Done</t>
  </si>
  <si>
    <t>Purple Category</t>
  </si>
  <si>
    <t>I-Others</t>
  </si>
  <si>
    <t>D-Prep</t>
  </si>
  <si>
    <t>I-Benefits</t>
  </si>
  <si>
    <t>I-OOO</t>
  </si>
  <si>
    <t>z-Personal</t>
  </si>
  <si>
    <t>C-Finastra</t>
  </si>
  <si>
    <t>I-Travel</t>
  </si>
  <si>
    <t>C-Amex</t>
  </si>
  <si>
    <t>I-Team</t>
  </si>
  <si>
    <t>E-UiPath News</t>
  </si>
  <si>
    <t>x</t>
  </si>
  <si>
    <t>Row Labels</t>
  </si>
  <si>
    <t>Grand Total</t>
  </si>
  <si>
    <t>PSA Time Entry</t>
  </si>
  <si>
    <t>Yes</t>
  </si>
  <si>
    <t>Get Date Formula Backup</t>
  </si>
  <si>
    <t>Comments</t>
  </si>
  <si>
    <t>Milestone</t>
  </si>
  <si>
    <t>Project</t>
  </si>
  <si>
    <t>Start Row</t>
  </si>
  <si>
    <t>Comments Backup</t>
  </si>
  <si>
    <t>Last Row</t>
  </si>
  <si>
    <t>Milestones</t>
  </si>
  <si>
    <t>Code</t>
  </si>
  <si>
    <t>Non-Chargeable_Administrative</t>
  </si>
  <si>
    <t>Non-Chargeable_Available Time</t>
  </si>
  <si>
    <t>Non-Chargeable_Leave</t>
  </si>
  <si>
    <t>Non-Chargeable_Onboarding</t>
  </si>
  <si>
    <t>Non-Chargeable_Professional Development</t>
  </si>
  <si>
    <t>Administrative</t>
  </si>
  <si>
    <t>Available Time</t>
  </si>
  <si>
    <t>Onboarding</t>
  </si>
  <si>
    <t>Professional Development</t>
  </si>
  <si>
    <t>Sick Leave</t>
  </si>
  <si>
    <t>Regional Holiday</t>
  </si>
  <si>
    <t>Family Leave</t>
  </si>
  <si>
    <t>Bereavement Leave</t>
  </si>
  <si>
    <t>Paid Time Off</t>
  </si>
  <si>
    <t>Unpaid Time Off</t>
  </si>
  <si>
    <t>ProjectName</t>
  </si>
  <si>
    <t>P-Plus-HCA Healthcare, In-007284 -&gt; HCA Health-007284-Technical Account Ma-Fix-Aaron H</t>
  </si>
  <si>
    <t>Categories</t>
  </si>
  <si>
    <t>Outlook Mapped?</t>
  </si>
  <si>
    <t>A-Deferred Reply</t>
  </si>
  <si>
    <t>A-Key Emails</t>
  </si>
  <si>
    <t>A-Review Later</t>
  </si>
  <si>
    <t>C-CHS</t>
  </si>
  <si>
    <t>C-CareMore</t>
  </si>
  <si>
    <t>C-FGS</t>
  </si>
  <si>
    <t>C-Fresenius</t>
  </si>
  <si>
    <t>C-MMMHC</t>
  </si>
  <si>
    <t>D-Daily Briefing</t>
  </si>
  <si>
    <t>D-Office Hours</t>
  </si>
  <si>
    <t>D-TAM</t>
  </si>
  <si>
    <t>D-Weekly</t>
  </si>
  <si>
    <t>E-Forum</t>
  </si>
  <si>
    <t>I-Health</t>
  </si>
  <si>
    <t>I-IT</t>
  </si>
  <si>
    <t>O-PPS001 - Onboarding</t>
  </si>
  <si>
    <t>O-PPS102 - Installation &amp; Upgrade Assistance</t>
  </si>
  <si>
    <t>O-PPS105 - Code Review</t>
  </si>
  <si>
    <t>O-PPS107 - Out-of-Hours Planned Support</t>
  </si>
  <si>
    <t>O-PPS119 - Professional &amp; Citizen Developer Coaching</t>
  </si>
  <si>
    <t>O-PPS125 - Scalability Planning &amp; Implementation Support</t>
  </si>
  <si>
    <t>O-PPS201 - Quarterly Review &amp; Support Planning</t>
  </si>
  <si>
    <t>O-PPS302 - Platform &amp; Product Capabilities Workshop &amp; Demonstrations</t>
  </si>
  <si>
    <t>O-PPS316 - Key Benefit &amp; Value Tracking Assistance</t>
  </si>
  <si>
    <t>O-PPS327 - Customer product improvement advocacy</t>
  </si>
  <si>
    <t>O-PPS401 - Meeting with TAM</t>
  </si>
  <si>
    <t>O-PPS405 - Ticket Monitoring and Escalatio</t>
  </si>
  <si>
    <t>O-PPS405 - Ticket Monitoring and Escalation</t>
  </si>
  <si>
    <t>O-PPS406 - Other Internal Customer-Related Activities</t>
  </si>
  <si>
    <t>z-HCA Meeting Block</t>
  </si>
  <si>
    <t>Mapping Row Count</t>
  </si>
  <si>
    <t>P-Plus-Caremore Health (S-006917 -&gt; Caremore H-006917-Technical Account Ma-Fix-Aaron H</t>
  </si>
  <si>
    <t>P-Plus-Elevance Health, I-006968 -&gt; Elevance H-006968-Technical Account Ma-Fix-Aaron H</t>
  </si>
  <si>
    <t>P-Plus-Carelon-007333 -&gt; Carelon-007333-Technical Account Ma-Fix-Aaron H</t>
  </si>
  <si>
    <t>P-Plus-HCA Information Te-007086 -&gt; HCA Inform-007086-Technical Account Ma-Fix-Aaron H</t>
  </si>
  <si>
    <t>P-Plus-Federal Gov Soluti-007053 -&gt; Federal Go-007053-Technical Account Ma-Fix-Aaron H</t>
  </si>
  <si>
    <t>P-Plus-National Governmen-007174 -&gt; National G-007174-Technical Account Ma-Fix-Aaron H</t>
  </si>
  <si>
    <t>Ent-Success-Fresenius Medical-007884 -&gt; Fresenius -007884-Technical Account Ma-Fix-Aaron H</t>
  </si>
  <si>
    <t>ES100-Customer onboarding</t>
  </si>
  <si>
    <t>ES101-Program health assessment</t>
  </si>
  <si>
    <t>ES102-Technical health assessment</t>
  </si>
  <si>
    <t>ES103-Automation program success planning</t>
  </si>
  <si>
    <t>ES104-State of the automation program review</t>
  </si>
  <si>
    <t>ES200-Platform governance &amp; security advisory</t>
  </si>
  <si>
    <t>ES201-Automation program value definition</t>
  </si>
  <si>
    <t>ES202-Product roadmap &amp; capability advisory</t>
  </si>
  <si>
    <t>ES203-Platform strategy &amp; design advisory</t>
  </si>
  <si>
    <t>ES204-Automation program design &amp; structure advisory</t>
  </si>
  <si>
    <t>ES205-Value management advisory</t>
  </si>
  <si>
    <t>ES300-Platform infrastructure &amp; maintenance assistance</t>
  </si>
  <si>
    <t>ES301-DevOps planning &amp; implementation advisory</t>
  </si>
  <si>
    <t>ES302-Code design advisory &amp; review</t>
  </si>
  <si>
    <t>ES303-Line of business ingestion advisory</t>
  </si>
  <si>
    <t>ES400-Professional &amp; citizen developer coaching</t>
  </si>
  <si>
    <t>ES401-Automation pipeline advisory</t>
  </si>
  <si>
    <t>ES402-Automation pipeline tooling advisory</t>
  </si>
  <si>
    <t>ES403-Business evangelism advisory</t>
  </si>
  <si>
    <t>ES404-Custom enablement planning</t>
  </si>
  <si>
    <t>ES501-Customer meetings &amp; general communication</t>
  </si>
  <si>
    <t>ES502-Support ticket facilitation &amp; escalation</t>
  </si>
  <si>
    <t>ES503-Internal customer-specific account planning &amp; communication</t>
  </si>
  <si>
    <t>ES504-Quarterly satisfaction survey</t>
  </si>
  <si>
    <t>I-OOO Sick</t>
  </si>
  <si>
    <t>O-ES100-Customer onboarding</t>
  </si>
  <si>
    <t>O-ES101-Program health assessment</t>
  </si>
  <si>
    <t>O-ES102-Technical health assessment</t>
  </si>
  <si>
    <t>O-ES103-Automation program success planning</t>
  </si>
  <si>
    <t>O-ES104-State of the automation program review</t>
  </si>
  <si>
    <t>O-ES200-Platform governance &amp; security advisory</t>
  </si>
  <si>
    <t>O-ES201-Automation program value definition</t>
  </si>
  <si>
    <t>O-ES202-Product roadmap &amp; capability advisory</t>
  </si>
  <si>
    <t>O-ES203-Platform strategy &amp; design advisory</t>
  </si>
  <si>
    <t>O-ES204-Automation program design &amp; structure advisory</t>
  </si>
  <si>
    <t>O-ES205-Value management advisory</t>
  </si>
  <si>
    <t>O-ES300-Platform infrastructure &amp; maintenance assistance</t>
  </si>
  <si>
    <t>O-ES301-DevOps planning &amp; implementation advisory</t>
  </si>
  <si>
    <t>O-ES302-Code design advisory &amp; review</t>
  </si>
  <si>
    <t>O-ES303-Line of business ingestion advisory</t>
  </si>
  <si>
    <t>O-ES400-Professional &amp; citizen developer coaching</t>
  </si>
  <si>
    <t>O-ES401-Automation pipeline advisory</t>
  </si>
  <si>
    <t>O-ES402-Automation pipeline tooling advisory</t>
  </si>
  <si>
    <t>O-ES403-Business evangelism advisory</t>
  </si>
  <si>
    <t>O-ES404-Custom enablement planning</t>
  </si>
  <si>
    <t>O-ES501-Customer meetings &amp; general communication</t>
  </si>
  <si>
    <t>O-ES502-Support ticket facilitation &amp; escalation</t>
  </si>
  <si>
    <t>O-ES503-Internal customer-specific account planning &amp; communication</t>
  </si>
  <si>
    <t>O-ES504-Quarterly satisfaction survey</t>
  </si>
  <si>
    <t>Sum of Total</t>
  </si>
  <si>
    <t>Sum of Total2</t>
  </si>
  <si>
    <t>P-Plus-CGI Technologies a-006931 -&gt; CGI Techno-006931-Technical Account Ma-Fix-Aaron H</t>
  </si>
  <si>
    <t>C-CGI</t>
  </si>
  <si>
    <t>C-BCBSM</t>
  </si>
  <si>
    <t>Volunteering</t>
  </si>
  <si>
    <t>I-OOO Volunteer</t>
  </si>
  <si>
    <t>Carahsoft-US Coast Guard-Fixed Price-Prepaid-100% Discounted-008054 -&gt; US Coast G-008054-RPA Solutions Archit-Fix-Aaron H|B_Onboarding Requirements</t>
  </si>
  <si>
    <t>I-OOO Holiday</t>
  </si>
  <si>
    <t>Carahsoft-US Coast Guard-Fixed Price-Prepaid-100% Discounted-008054 -&gt; US Coast G-008054-RPA Solutions Archit-Fix-Aaron H|A</t>
  </si>
  <si>
    <t>I-Training GSKO</t>
  </si>
  <si>
    <t>Support Hours Non-Support Customers</t>
  </si>
  <si>
    <t>None</t>
  </si>
  <si>
    <t>C-Others</t>
  </si>
  <si>
    <t xml:space="preserve">05/13/2024: _x000D_
05/14/2024: _x000D_
05/15/2024: _x000D_
05/16/2024: _x000D_
05/17/2024: </t>
  </si>
  <si>
    <t xml:space="preserve">05/20/2024: _x000D_
05/21/2024: _x000D_
05/22/2024: _x000D_
05/23/2024: _x000D_
05/24/2024: </t>
  </si>
  <si>
    <t xml:space="preserve">05/20/2024: Wrap-up :: Fireside Chat with Ryan Mac Ban and Modern Health CEO, Alyson Watson; Fireside Chat with Ryan Mac Ban and Modern Health CEO, Alyson Watson; _x000D_
05/21/2024: _x000D_
05/22/2024: _x000D_
05/23/2024: _x000D_
05/24/2024: </t>
  </si>
  <si>
    <t xml:space="preserve">05/20/2024: Fresenius :: TAM Internal Sync; _x000D_
05/21/2024: _x000D_
05/22/2024: _x000D_
05/23/2024: _x000D_
05/24/2024: </t>
  </si>
  <si>
    <t xml:space="preserve">05/20/2024: HCA :: TAM Internal Sync; Admin :: Email/Slack; HCA Enterprise Architecture; Work on HCA Automation Layer; _x000D_
05/21/2024: _x000D_
05/22/2024: _x000D_
05/23/2024: _x000D_
05/24/2024: </t>
  </si>
  <si>
    <t xml:space="preserve">05/20/2024: HCA :: UiPath TAM Update; _x000D_
05/21/2024: _x000D_
05/22/2024: _x000D_
05/23/2024: _x000D_
05/24/2024: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</si>
</sst>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_);_(* \(#,##0\);_(* &quot;-&quot;??_);_(@_)"/>
    <numFmt numFmtId="165" formatCode="mm/dd/yyyy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A010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4" fillId="0" borderId="1" xfId="0" applyFont="1" applyBorder="1"/>
    <xf numFmtId="0" fontId="1" fillId="0" borderId="2" xfId="0" applyFont="1" applyBorder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1" xfId="0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vertical="top"/>
    </xf>
    <xf numFmtId="14" fontId="1" fillId="2" borderId="1" xfId="0" applyNumberFormat="1" applyFont="1" applyFill="1" applyBorder="1"/>
    <xf numFmtId="0" fontId="0" fillId="4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7" borderId="0" xfId="0" applyFill="1"/>
    <xf numFmtId="0" fontId="0" fillId="3" borderId="1" xfId="0" applyFill="1" applyBorder="1"/>
    <xf numFmtId="0" fontId="6" fillId="0" borderId="0" xfId="0" applyFont="1"/>
    <xf numFmtId="0" fontId="5" fillId="0" borderId="0" xfId="0" applyFont="1"/>
    <xf numFmtId="0" fontId="3" fillId="0" borderId="0" xfId="0" applyFont="1" applyAlignment="1">
      <alignment vertical="top"/>
    </xf>
    <xf numFmtId="0" fontId="3" fillId="0" borderId="0" xfId="0" applyFont="1"/>
    <xf numFmtId="0" fontId="1" fillId="2" borderId="1" xfId="0" applyFont="1" applyFill="1" applyBorder="1" applyAlignment="1">
      <alignment wrapText="1"/>
    </xf>
    <xf numFmtId="0" fontId="1" fillId="0" borderId="0" xfId="0" applyFont="1"/>
    <xf numFmtId="1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>
      <alignment horizontal="center"/>
    </xf>
    <xf numFmtId="0" fontId="8" fillId="2" borderId="1" xfId="0" applyFont="1" applyFill="1" applyBorder="1"/>
    <xf numFmtId="0" fontId="7" fillId="0" borderId="0" xfId="0" applyFont="1" applyAlignment="1">
      <alignment wrapText="1"/>
    </xf>
    <xf numFmtId="0" fontId="1" fillId="6" borderId="3" xfId="0" applyFont="1" applyFill="1" applyBorder="1" applyAlignment="1">
      <alignment horizontal="center"/>
    </xf>
    <xf numFmtId="0" fontId="0" fillId="9" borderId="0" xfId="0" applyFill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/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10" fontId="0" fillId="0" borderId="0" xfId="0" applyNumberFormat="1"/>
    <xf numFmtId="164" fontId="7" fillId="8" borderId="0" xfId="0" applyNumberFormat="1" applyFont="1" applyFill="1" applyAlignment="1">
      <alignment horizontal="left" vertical="top"/>
    </xf>
    <xf numFmtId="0" fontId="0" fillId="0" borderId="1" xfId="0" applyBorder="1" applyAlignment="1" applyProtection="1">
      <alignment horizontal="left" vertical="top"/>
      <protection locked="0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left" vertical="top" wrapText="1"/>
      <protection locked="0"/>
    </xf>
    <xf numFmtId="14" fontId="0" fillId="5" borderId="5" xfId="0" applyNumberFormat="1" applyFill="1" applyBorder="1" applyAlignment="1" applyProtection="1">
      <alignment horizontal="left" vertical="top" wrapText="1"/>
      <protection locked="0"/>
    </xf>
    <xf numFmtId="14" fontId="0" fillId="5" borderId="6" xfId="0" applyNumberFormat="1" applyFill="1" applyBorder="1" applyAlignment="1" applyProtection="1">
      <alignment horizontal="left" vertical="top" wrapText="1"/>
      <protection locked="0"/>
    </xf>
    <xf numFmtId="165" fontId="0" fillId="5" borderId="4" xfId="0" applyNumberFormat="1" applyFill="1" applyBorder="1" applyAlignment="1" applyProtection="1">
      <alignment horizontal="center" vertical="center"/>
      <protection locked="0"/>
    </xf>
    <xf numFmtId="165" fontId="0" fillId="5" borderId="5" xfId="0" applyNumberFormat="1" applyFill="1" applyBorder="1" applyAlignment="1" applyProtection="1">
      <alignment horizontal="center" vertical="center"/>
      <protection locked="0"/>
    </xf>
    <xf numFmtId="165" fontId="0" fillId="5" borderId="6" xfId="0" applyNumberForma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top"/>
      <protection locked="0"/>
    </xf>
    <xf numFmtId="0" fontId="0" fillId="5" borderId="8" xfId="0" applyFill="1" applyBorder="1" applyAlignment="1" applyProtection="1">
      <alignment horizontal="center" vertical="top"/>
      <protection locked="0"/>
    </xf>
    <xf numFmtId="0" fontId="0" fillId="5" borderId="9" xfId="0" applyFill="1" applyBorder="1" applyAlignment="1" applyProtection="1">
      <alignment horizontal="center" vertical="top"/>
      <protection locked="0"/>
    </xf>
    <xf numFmtId="0" fontId="0" fillId="5" borderId="10" xfId="0" applyFill="1" applyBorder="1" applyAlignment="1" applyProtection="1">
      <alignment horizontal="center" vertical="top"/>
      <protection locked="0"/>
    </xf>
    <xf numFmtId="0" fontId="0" fillId="5" borderId="11" xfId="0" applyFill="1" applyBorder="1" applyAlignment="1" applyProtection="1">
      <alignment horizontal="center" vertical="top"/>
      <protection locked="0"/>
    </xf>
    <xf numFmtId="0" fontId="0" fillId="5" borderId="12" xfId="0" applyFill="1" applyBorder="1" applyAlignment="1" applyProtection="1">
      <alignment horizontal="center" vertical="top"/>
      <protection locked="0"/>
    </xf>
    <xf numFmtId="0" fontId="0" fillId="5" borderId="4" xfId="0" applyFill="1" applyBorder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6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">
    <dxf>
      <font>
        <b/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</dxfs>
  <tableStyles count="1" defaultTableStyle="TableStyleMedium2" defaultPivotStyle="PivotStyleLight16">
    <tableStyle name="Invisible" pivot="0" table="0" count="0" xr9:uid="{2E9DAB2F-6726-442C-BF4A-33BDAFB0B634}"/>
  </tableStyles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3</xdr:row>
      <xdr:rowOff>158115</xdr:rowOff>
    </xdr:from>
    <xdr:to>
      <xdr:col>1</xdr:col>
      <xdr:colOff>3057525</xdr:colOff>
      <xdr:row>5</xdr:row>
      <xdr:rowOff>161925</xdr:rowOff>
    </xdr:to>
    <xdr:sp macro="[0]!Enter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59CB3C-5E7E-40B6-ADF3-4FDD9D41D413}"/>
            </a:ext>
          </a:extLst>
        </xdr:cNvPr>
        <xdr:cNvSpPr/>
      </xdr:nvSpPr>
      <xdr:spPr>
        <a:xfrm>
          <a:off x="1960245" y="1272540"/>
          <a:ext cx="2897505" cy="784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3200"/>
            <a:t>Log Time</a:t>
          </a:r>
        </a:p>
      </xdr:txBody>
    </xdr:sp>
    <xdr:clientData/>
  </xdr:twoCellAnchor>
  <xdr:twoCellAnchor>
    <xdr:from>
      <xdr:col>8</xdr:col>
      <xdr:colOff>407670</xdr:colOff>
      <xdr:row>3</xdr:row>
      <xdr:rowOff>60960</xdr:rowOff>
    </xdr:from>
    <xdr:to>
      <xdr:col>9</xdr:col>
      <xdr:colOff>476250</xdr:colOff>
      <xdr:row>3</xdr:row>
      <xdr:rowOff>335280</xdr:rowOff>
    </xdr:to>
    <xdr:sp macro="[0]!Set_Yesterday" textlink="">
      <xdr:nvSpPr>
        <xdr:cNvPr id="3" name="Rectangle 2">
          <a:extLst>
            <a:ext uri="{FF2B5EF4-FFF2-40B4-BE49-F238E27FC236}">
              <a16:creationId xmlns:a16="http://schemas.microsoft.com/office/drawing/2014/main" id="{79D33F7B-8248-45DC-9D8D-AE34AF8AAC42}"/>
            </a:ext>
          </a:extLst>
        </xdr:cNvPr>
        <xdr:cNvSpPr/>
      </xdr:nvSpPr>
      <xdr:spPr>
        <a:xfrm>
          <a:off x="9399270" y="1175385"/>
          <a:ext cx="83058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Yesterday</a:t>
          </a:r>
        </a:p>
      </xdr:txBody>
    </xdr:sp>
    <xdr:clientData/>
  </xdr:twoCellAnchor>
  <xdr:twoCellAnchor>
    <xdr:from>
      <xdr:col>8</xdr:col>
      <xdr:colOff>360045</xdr:colOff>
      <xdr:row>2</xdr:row>
      <xdr:rowOff>51435</xdr:rowOff>
    </xdr:from>
    <xdr:to>
      <xdr:col>9</xdr:col>
      <xdr:colOff>476250</xdr:colOff>
      <xdr:row>2</xdr:row>
      <xdr:rowOff>325755</xdr:rowOff>
    </xdr:to>
    <xdr:sp macro="[0]!Set_Today" textlink="">
      <xdr:nvSpPr>
        <xdr:cNvPr id="4" name="Rectangle 3">
          <a:extLst>
            <a:ext uri="{FF2B5EF4-FFF2-40B4-BE49-F238E27FC236}">
              <a16:creationId xmlns:a16="http://schemas.microsoft.com/office/drawing/2014/main" id="{B4C88C0F-C093-4C55-9EFF-6AFFFE15AC12}"/>
            </a:ext>
          </a:extLst>
        </xdr:cNvPr>
        <xdr:cNvSpPr/>
      </xdr:nvSpPr>
      <xdr:spPr>
        <a:xfrm>
          <a:off x="9351645" y="775335"/>
          <a:ext cx="878205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Today</a:t>
          </a:r>
        </a:p>
      </xdr:txBody>
    </xdr:sp>
    <xdr:clientData/>
  </xdr:twoCellAnchor>
  <xdr:twoCellAnchor>
    <xdr:from>
      <xdr:col>1</xdr:col>
      <xdr:colOff>291465</xdr:colOff>
      <xdr:row>6</xdr:row>
      <xdr:rowOff>57150</xdr:rowOff>
    </xdr:from>
    <xdr:to>
      <xdr:col>1</xdr:col>
      <xdr:colOff>2907030</xdr:colOff>
      <xdr:row>6</xdr:row>
      <xdr:rowOff>344805</xdr:rowOff>
    </xdr:to>
    <xdr:sp macro="[0]!Fix_Commen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8D7694-1355-49A6-9554-3AB71D8ADF13}"/>
            </a:ext>
          </a:extLst>
        </xdr:cNvPr>
        <xdr:cNvSpPr/>
      </xdr:nvSpPr>
      <xdr:spPr>
        <a:xfrm>
          <a:off x="2091690" y="2343150"/>
          <a:ext cx="2615565" cy="2876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Time</a:t>
          </a:r>
          <a:r>
            <a:rPr lang="en-US" sz="1400" baseline="0"/>
            <a:t> Reported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 Hubbart" refreshedDate="45348.45537048611" createdVersion="8" refreshedVersion="8" minRefreshableVersion="3" recordCount="311" xr:uid="{7FC4E449-5ACE-4C8E-A976-07596AF4C800}">
  <cacheSource type="worksheet">
    <worksheetSource name="TimeUpload"/>
  </cacheSource>
  <cacheFields count="12">
    <cacheField name="Project" numFmtId="0">
      <sharedItems count="18">
        <s v="P-Plus-Caremore Health (S-006917 -&gt; Caremore H-006917-Technical Account Ma-Fix-Aaron H"/>
        <s v="P-Plus-HCA Information Te-007086 -&gt; HCA Inform-007086-Technical Account Ma-Fix-Aaron H"/>
        <s v="P-Plus-Federal Gov Soluti-007053 -&gt; Federal Go-007053-Technical Account Ma-Fix-Aaron H"/>
        <s v="P-Plus-National Governmen-007174 -&gt; National G-007174-Technical Account Ma-Fix-Aaron H"/>
        <s v="Ent-Success-Fresenius Medical-007884 -&gt; Fresenius -007884-Technical Account Ma-Fix-Aaron H"/>
        <s v="P-Plus-CGI Technologies a-006931 -&gt; CGI Techno-006931-Technical Account Ma-Fix-Aaron H"/>
        <s v="P-Plus-Elevance Health, I-006968 -&gt; Elevance H-006968-Technical Account Ma-Fix-Aaron H"/>
        <s v="P-Plus-Carelon-007333 -&gt; Carelon-007333-Technical Account Ma-Fix-Aaron H"/>
        <s v="Carahsoft-US Coast Guard-Fixed Price-Prepaid-100% Discounted-008054 -&gt; US Coast G-008054-RPA Solutions Archit-Fix-Aaron H|A"/>
        <s v="Carahsoft-US Coast Guard-Fixed Price-Prepaid-100% Discounted-008054 -&gt; US Coast G-008054-RPA Solutions Archit-Fix-Aaron H|B_Onboarding Requirements"/>
        <s v="P-Plus-HCA Healthcare, In-007284 -&gt; HCA Health-007284-Technical Account Ma-Fix-Aaron H"/>
        <s v="Non-Chargeable_Administrative"/>
        <s v="Non-Chargeable_Available Time"/>
        <s v="Non-Chargeable_Leave"/>
        <s v="Non-Chargeable_Onboarding"/>
        <s v="Non-Chargeable_Professional Development"/>
        <s v="Support Hours Non-Support Customers"/>
        <s v="P-Support-Vizient-007554" u="1"/>
      </sharedItems>
    </cacheField>
    <cacheField name="Milestone" numFmtId="0">
      <sharedItems/>
    </cacheField>
    <cacheField name="x" numFmtId="0">
      <sharedItems containsNonDate="0" containsString="0" containsBlank="1"/>
    </cacheField>
    <cacheField name="2/18/2024" numFmtId="0">
      <sharedItems containsNonDate="0" containsString="0" containsBlank="1"/>
    </cacheField>
    <cacheField name="2/19/2024" numFmtId="0">
      <sharedItems containsString="0" containsBlank="1" containsNumber="1" containsInteger="1" minValue="8" maxValue="8"/>
    </cacheField>
    <cacheField name="2/20/2024" numFmtId="0">
      <sharedItems containsString="0" containsBlank="1" containsNumber="1" minValue="3.5" maxValue="6"/>
    </cacheField>
    <cacheField name="2/21/2024" numFmtId="0">
      <sharedItems containsString="0" containsBlank="1" containsNumber="1" containsInteger="1" minValue="1" maxValue="9"/>
    </cacheField>
    <cacheField name="2/22/2024" numFmtId="0">
      <sharedItems containsString="0" containsBlank="1" containsNumber="1" containsInteger="1" minValue="4" maxValue="4"/>
    </cacheField>
    <cacheField name="2/23/2024" numFmtId="0">
      <sharedItems containsString="0" containsBlank="1" containsNumber="1" minValue="0.5" maxValue="5.5"/>
    </cacheField>
    <cacheField name="2/24/2024" numFmtId="0">
      <sharedItems containsNonDate="0" containsString="0" containsBlank="1"/>
    </cacheField>
    <cacheField name="Total" numFmtId="0">
      <sharedItems containsSemiMixedTypes="0" containsString="0" containsNumber="1" minValue="0" maxValue="19"/>
    </cacheField>
    <cacheField name="Comments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1">
  <r>
    <x v="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0"/>
    <s v="None"/>
    <m/>
    <m/>
    <m/>
    <m/>
    <m/>
    <m/>
    <m/>
    <m/>
    <n v="0"/>
    <s v="02/19/2024: _x000d__x000a_02/20/2024: _x000d__x000a_02/21/2024: _x000d__x000a_02/22/2024: _x000d__x000a_02/23/2024: "/>
  </r>
  <r>
    <x v="1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"/>
    <s v="ES104-State of the automation program review"/>
    <m/>
    <m/>
    <m/>
    <m/>
    <n v="1"/>
    <m/>
    <m/>
    <m/>
    <n v="1"/>
    <s v="02/19/2024: _x000d__x000a_02/20/2024: _x000d__x000a_02/21/2024: HCA :: Update Status Slides; _x000d__x000a_02/22/2024: _x000d__x000a_02/23/2024: "/>
  </r>
  <r>
    <x v="1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"/>
    <s v="ES503-Internal customer-specific account planning &amp; communication"/>
    <m/>
    <m/>
    <m/>
    <n v="3.5"/>
    <m/>
    <m/>
    <n v="5.5"/>
    <m/>
    <n v="9"/>
    <s v="02/19/2024: _x000d__x000a_02/20/2024: HCA :: Other; _x000d__x000a_02/21/2024: _x000d__x000a_02/22/2024: _x000d__x000a_02/23/2024: HCA :: Weekly Status Tracking Updates; HCA :: Dev Outage; "/>
  </r>
  <r>
    <x v="1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"/>
    <s v="None"/>
    <m/>
    <m/>
    <m/>
    <m/>
    <m/>
    <m/>
    <m/>
    <m/>
    <n v="0"/>
    <s v="02/19/2024: _x000d__x000a_02/20/2024: _x000d__x000a_02/21/2024: _x000d__x000a_02/22/2024: _x000d__x000a_02/23/2024: "/>
  </r>
  <r>
    <x v="2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2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2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2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2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2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2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2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2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2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2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2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2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2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2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2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2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2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2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2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2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2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2"/>
    <s v="None"/>
    <m/>
    <m/>
    <m/>
    <m/>
    <m/>
    <m/>
    <m/>
    <m/>
    <n v="0"/>
    <s v="02/19/2024: _x000d__x000a_02/20/2024: _x000d__x000a_02/21/2024: _x000d__x000a_02/22/2024: _x000d__x000a_02/23/2024: "/>
  </r>
  <r>
    <x v="3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3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3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3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3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3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3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3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3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3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3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3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3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3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3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3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3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3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3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3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3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3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3"/>
    <s v="None"/>
    <m/>
    <m/>
    <m/>
    <m/>
    <m/>
    <m/>
    <m/>
    <m/>
    <n v="0"/>
    <s v="02/19/2024: _x000d__x000a_02/20/2024: _x000d__x000a_02/21/2024: _x000d__x000a_02/22/2024: _x000d__x000a_02/23/2024: "/>
  </r>
  <r>
    <x v="4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4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4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4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4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4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4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4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4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4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4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4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4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4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4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4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4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4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4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4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4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4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4"/>
    <s v="None"/>
    <m/>
    <m/>
    <m/>
    <m/>
    <m/>
    <m/>
    <m/>
    <m/>
    <n v="0"/>
    <s v="02/19/2024: _x000d__x000a_02/20/2024: _x000d__x000a_02/21/2024: _x000d__x000a_02/22/2024: _x000d__x000a_02/23/2024: "/>
  </r>
  <r>
    <x v="5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5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5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5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5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5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5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5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5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5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5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5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5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5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5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5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5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5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5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5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5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5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5"/>
    <s v="None"/>
    <m/>
    <m/>
    <m/>
    <m/>
    <m/>
    <m/>
    <m/>
    <m/>
    <n v="0"/>
    <s v="02/19/2024: _x000d__x000a_02/20/2024: _x000d__x000a_02/21/2024: _x000d__x000a_02/22/2024: _x000d__x000a_02/23/2024: "/>
  </r>
  <r>
    <x v="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6"/>
    <s v="None"/>
    <m/>
    <m/>
    <m/>
    <m/>
    <m/>
    <m/>
    <m/>
    <m/>
    <n v="0"/>
    <s v="02/19/2024: _x000d__x000a_02/20/2024: _x000d__x000a_02/21/2024: _x000d__x000a_02/22/2024: _x000d__x000a_02/23/2024: "/>
  </r>
  <r>
    <x v="7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7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7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7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7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7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7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7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7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7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7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7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7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7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7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7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7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7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7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7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7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7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7"/>
    <s v="None"/>
    <m/>
    <m/>
    <m/>
    <m/>
    <m/>
    <m/>
    <m/>
    <m/>
    <n v="0"/>
    <s v="02/19/2024: _x000d__x000a_02/20/2024: _x000d__x000a_02/21/2024: _x000d__x000a_02/22/2024: _x000d__x000a_02/23/2024: "/>
  </r>
  <r>
    <x v="8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8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8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8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8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8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8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8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8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8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8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8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8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8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8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8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8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8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8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8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8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8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8"/>
    <s v="None"/>
    <m/>
    <m/>
    <m/>
    <m/>
    <m/>
    <m/>
    <m/>
    <m/>
    <n v="0"/>
    <s v="02/19/2024: _x000d__x000a_02/20/2024: _x000d__x000a_02/21/2024: _x000d__x000a_02/22/2024: _x000d__x000a_02/23/2024: "/>
  </r>
  <r>
    <x v="9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9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9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9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9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9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9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9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9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9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9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9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9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9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9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9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9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9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9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9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9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9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9"/>
    <s v="None"/>
    <m/>
    <m/>
    <m/>
    <m/>
    <m/>
    <m/>
    <m/>
    <m/>
    <n v="0"/>
    <s v="02/19/2024: _x000d__x000a_02/20/2024: _x000d__x000a_02/21/2024: _x000d__x000a_02/22/2024: _x000d__x000a_02/23/2024: "/>
  </r>
  <r>
    <x v="1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0"/>
    <s v="None"/>
    <m/>
    <m/>
    <m/>
    <m/>
    <m/>
    <m/>
    <m/>
    <m/>
    <n v="0"/>
    <s v="02/19/2024: _x000d__x000a_02/20/2024: _x000d__x000a_02/21/2024: _x000d__x000a_02/22/2024: _x000d__x000a_02/23/2024: "/>
  </r>
  <r>
    <x v="11"/>
    <s v="Administrative"/>
    <m/>
    <m/>
    <m/>
    <m/>
    <m/>
    <m/>
    <n v="0.5"/>
    <m/>
    <n v="0.5"/>
    <s v="02/19/2024: _x000d__x000a_02/20/2024: _x000d__x000a_02/21/2024: _x000d__x000a_02/22/2024: _x000d__x000a_02/23/2024: Submit Timesheets; "/>
  </r>
  <r>
    <x v="12"/>
    <s v="Available Time"/>
    <m/>
    <m/>
    <m/>
    <m/>
    <m/>
    <m/>
    <m/>
    <m/>
    <n v="0"/>
    <s v="02/19/2024: _x000d__x000a_02/20/2024: _x000d__x000a_02/21/2024: _x000d__x000a_02/22/2024: _x000d__x000a_02/23/2024: "/>
  </r>
  <r>
    <x v="13"/>
    <s v="Sick Leave"/>
    <m/>
    <m/>
    <m/>
    <m/>
    <m/>
    <m/>
    <m/>
    <m/>
    <n v="0"/>
    <s v="02/19/2024: _x000d__x000a_02/20/2024: _x000d__x000a_02/21/2024: _x000d__x000a_02/22/2024: _x000d__x000a_02/23/2024: "/>
  </r>
  <r>
    <x v="13"/>
    <s v="Regional Holiday"/>
    <m/>
    <m/>
    <n v="8"/>
    <m/>
    <m/>
    <m/>
    <m/>
    <m/>
    <n v="8"/>
    <s v="02/19/2024: OOO :: Holiday; _x000d__x000a_02/20/2024: _x000d__x000a_02/21/2024: _x000d__x000a_02/22/2024: _x000d__x000a_02/23/2024: "/>
  </r>
  <r>
    <x v="13"/>
    <s v="Family Leave"/>
    <m/>
    <m/>
    <m/>
    <m/>
    <m/>
    <m/>
    <m/>
    <m/>
    <n v="0"/>
    <s v="02/19/2024: _x000d__x000a_02/20/2024: _x000d__x000a_02/21/2024: _x000d__x000a_02/22/2024: _x000d__x000a_02/23/2024: "/>
  </r>
  <r>
    <x v="13"/>
    <s v="Bereavement Leave"/>
    <m/>
    <m/>
    <m/>
    <m/>
    <m/>
    <m/>
    <m/>
    <m/>
    <n v="0"/>
    <s v="02/19/2024: _x000d__x000a_02/20/2024: _x000d__x000a_02/21/2024: _x000d__x000a_02/22/2024: _x000d__x000a_02/23/2024: "/>
  </r>
  <r>
    <x v="13"/>
    <s v="Paid Time Off"/>
    <m/>
    <m/>
    <m/>
    <m/>
    <m/>
    <m/>
    <m/>
    <m/>
    <n v="0"/>
    <s v="02/19/2024: _x000d__x000a_02/20/2024: _x000d__x000a_02/21/2024: _x000d__x000a_02/22/2024: _x000d__x000a_02/23/2024: "/>
  </r>
  <r>
    <x v="13"/>
    <s v="Unpaid Time Off"/>
    <m/>
    <m/>
    <m/>
    <m/>
    <m/>
    <m/>
    <m/>
    <m/>
    <n v="0"/>
    <s v="02/19/2024: _x000d__x000a_02/20/2024: _x000d__x000a_02/21/2024: _x000d__x000a_02/22/2024: _x000d__x000a_02/23/2024: "/>
  </r>
  <r>
    <x v="13"/>
    <s v="Volunteering"/>
    <m/>
    <m/>
    <m/>
    <m/>
    <m/>
    <m/>
    <m/>
    <m/>
    <n v="0"/>
    <s v="02/19/2024: _x000d__x000a_02/20/2024: _x000d__x000a_02/21/2024: _x000d__x000a_02/22/2024: _x000d__x000a_02/23/2024: "/>
  </r>
  <r>
    <x v="14"/>
    <s v="Onboarding"/>
    <m/>
    <m/>
    <m/>
    <m/>
    <m/>
    <m/>
    <m/>
    <m/>
    <n v="0"/>
    <s v="02/19/2024: _x000d__x000a_02/20/2024: _x000d__x000a_02/21/2024: _x000d__x000a_02/22/2024: _x000d__x000a_02/23/2024: "/>
  </r>
  <r>
    <x v="15"/>
    <s v="Professional Development"/>
    <m/>
    <m/>
    <m/>
    <m/>
    <m/>
    <m/>
    <m/>
    <m/>
    <n v="0"/>
    <s v="02/19/2024: _x000d__x000a_02/20/2024: _x000d__x000a_02/21/2024: _x000d__x000a_02/22/2024: _x000d__x000a_02/23/2024: "/>
  </r>
  <r>
    <x v="1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6"/>
    <s v="None"/>
    <m/>
    <m/>
    <m/>
    <n v="6"/>
    <n v="9"/>
    <n v="4"/>
    <m/>
    <m/>
    <n v="19"/>
    <s v="02/19/2024: _x000d__x000a_02/20/2024: Training :: GSKO; Training :: GSKO FY25; _x000d__x000a_02/21/2024: HLS Vert Team Dinner &lt;&gt; La Cave Lounge ; Success Team - Happy Hour @ SKO ; Skyrocket Sales with Autopilot; UiPath Today - delivering the winning pitch 1; SE Session 2: Stories from the Trenches; Industry Intensives: Healthcare and Life Sciences; AMER: Introducing the Franchise Model; AMER: GTM Strategy for FY25; _x000d__x000a_02/22/2024: [Velocity] CCO Org: Theater Breakout; SKO - Post-Sales Breakout; _x000d__x000a_02/23/2024: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12E68-6EF3-458E-9FB9-8F392A6EE3A6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1" firstHeaderRow="0" firstDataRow="1" firstDataCol="1"/>
  <pivotFields count="12">
    <pivotField axis="axisRow" showAll="0">
      <items count="19">
        <item sd="0" x="4"/>
        <item sd="0" x="11"/>
        <item sd="0" x="12"/>
        <item sd="0" x="13"/>
        <item sd="0" x="14"/>
        <item sd="0" x="15"/>
        <item sd="0" x="7"/>
        <item sd="0" x="0"/>
        <item sd="0" x="6"/>
        <item sd="0" x="2"/>
        <item sd="0" x="10"/>
        <item sd="0" x="1"/>
        <item sd="0" x="3"/>
        <item sd="0" m="1" x="17"/>
        <item x="5"/>
        <item x="8"/>
        <item x="9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10" baseField="0" baseItem="0"/>
    <dataField name="Sum of Total2" fld="10" showDataAs="percentOfCo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356"/>
  <sheetViews>
    <sheetView workbookViewId="0">
      <pane xSplit="3" ySplit="10" topLeftCell="D14" activePane="bottomRight" state="frozenSplit"/>
      <selection activeCell="E1" sqref="E1 E1"/>
      <selection pane="topRight"/>
      <selection pane="bottomLeft"/>
      <selection pane="bottomRight" activeCell="E2" sqref="E2:G2"/>
    </sheetView>
  </sheetViews>
  <sheetFormatPr defaultRowHeight="15" outlineLevelCol="1"/>
  <cols>
    <col min="1" max="1" width="27" style="10" customWidth="1"/>
    <col min="2" max="2" width="48" style="10" customWidth="1"/>
    <col min="3" max="3" width="2.7109375" customWidth="1"/>
    <col min="4" max="10" width="11.42578125" customWidth="1"/>
    <col min="11" max="11" width="9.7109375" bestFit="1" customWidth="1"/>
    <col min="12" max="12" width="58.42578125" customWidth="1"/>
    <col min="13" max="13" width="11.42578125" bestFit="1" customWidth="1"/>
    <col min="14" max="14" width="9.7109375" customWidth="1"/>
    <col min="15" max="15" width="58.140625" customWidth="1"/>
    <col min="16" max="16" width="5.5703125" customWidth="1"/>
    <col min="17" max="19" width="9.140625" customWidth="1"/>
    <col min="20" max="20" width="8.85546875" customWidth="1"/>
    <col min="21" max="23" width="9.140625" customWidth="1"/>
    <col min="24" max="25" width="9.140625" customWidth="1" outlineLevel="1"/>
    <col min="26" max="26" width="8.5703125" customWidth="1" outlineLevel="1"/>
    <col min="27" max="30" width="9.140625" customWidth="1" outlineLevel="1"/>
    <col min="31" max="31" width="8.85546875" customWidth="1"/>
  </cols>
  <sheetData>
    <row r="1" spans="1:31" ht="26.25" customHeight="1" thickBot="1">
      <c r="A1" s="9" t="s">
        <v>49</v>
      </c>
      <c r="B1"/>
      <c r="C1" s="10"/>
      <c r="D1" s="10"/>
      <c r="F1" s="10"/>
      <c r="G1" s="10"/>
      <c r="H1" s="10"/>
      <c r="I1" s="10"/>
      <c r="K1" s="10"/>
      <c r="L1" s="27"/>
      <c r="M1" s="27"/>
      <c r="N1" s="27"/>
      <c r="O1" s="27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30.75" thickBot="1">
      <c r="A2" s="10" t="s">
        <v>4</v>
      </c>
      <c r="B2" s="12" t="str">
        <f ca="1">"Meetings Recorded: " &amp;SUM(X11:AD321) &amp; CHAR(10)&amp;"Hours Recorded: "&amp;K322</f>
        <v>Meetings Recorded: 8
Hours Recorded: 5</v>
      </c>
      <c r="C2" s="10"/>
      <c r="D2" s="34" t="s">
        <v>54</v>
      </c>
      <c r="E2" s="47"/>
      <c r="F2" s="48"/>
      <c r="G2" s="49"/>
      <c r="H2" s="10"/>
      <c r="I2" s="10"/>
      <c r="J2" s="26"/>
      <c r="K2" s="10"/>
      <c r="L2" s="27"/>
      <c r="M2" s="27"/>
      <c r="N2" s="27"/>
      <c r="O2" s="27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30.75" customHeight="1" thickBot="1">
      <c r="A3" s="39">
        <f ca="1">DATEVALUE(LEFT(RIGHT(MID(CELL("filename"),SEARCH("[",CELL("filename"))+1, SEARCH("]",CELL("filename"))-SEARCH("[",CELL("filename"))-1),15),10))</f>
        <v>45437</v>
      </c>
      <c r="B3" s="12" t="str">
        <f>IF(Status&lt;&gt;"","Timesheet Submitted","Timesheet NOT submitted")</f>
        <v>Timesheet NOT submitted</v>
      </c>
      <c r="D3" s="34" t="s">
        <v>53</v>
      </c>
      <c r="E3" s="62"/>
      <c r="F3" s="63"/>
      <c r="G3" s="64"/>
      <c r="H3" s="33"/>
      <c r="I3" s="10"/>
      <c r="K3" s="27"/>
      <c r="L3" s="27"/>
      <c r="M3" s="27"/>
      <c r="N3" s="27"/>
      <c r="O3" s="27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ht="30.75" customHeight="1" thickBot="1">
      <c r="A4"/>
      <c r="B4"/>
      <c r="D4" s="34" t="s">
        <v>0</v>
      </c>
      <c r="E4" s="50">
        <v>45432</v>
      </c>
      <c r="F4" s="51"/>
      <c r="G4" s="52"/>
      <c r="H4" s="42">
        <f ca="1">IFERROR(MATCH(E4,D10:J10,0)+3,"Check Date!")</f>
        <v>5</v>
      </c>
      <c r="L4" s="27"/>
      <c r="M4" s="27"/>
      <c r="N4" s="27"/>
      <c r="O4" s="27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spans="1:31" ht="30.75" customHeight="1" thickBot="1">
      <c r="A5"/>
      <c r="B5"/>
      <c r="D5" s="34" t="s">
        <v>1</v>
      </c>
      <c r="E5" s="53"/>
      <c r="F5" s="54"/>
      <c r="G5" s="55"/>
      <c r="M5" s="27"/>
      <c r="N5" s="27"/>
      <c r="O5" s="2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spans="1:31" ht="30.75" customHeight="1">
      <c r="A6"/>
      <c r="B6"/>
      <c r="D6" s="44" t="s">
        <v>2</v>
      </c>
      <c r="E6" s="56"/>
      <c r="F6" s="57"/>
      <c r="G6" s="57"/>
      <c r="H6" s="57"/>
      <c r="I6" s="57"/>
      <c r="J6" s="58"/>
      <c r="L6" s="27"/>
      <c r="O6" s="27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30.75" customHeight="1" thickBot="1">
      <c r="A7"/>
      <c r="B7"/>
      <c r="D7" s="45"/>
      <c r="E7" s="59"/>
      <c r="F7" s="60"/>
      <c r="G7" s="60"/>
      <c r="H7" s="60"/>
      <c r="I7" s="60"/>
      <c r="J7" s="61"/>
      <c r="L7" s="27"/>
      <c r="O7" s="27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30.75" customHeight="1">
      <c r="A8"/>
      <c r="B8"/>
      <c r="L8" s="27"/>
      <c r="O8" s="27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30.75" customHeight="1">
      <c r="A9"/>
      <c r="B9"/>
      <c r="D9" s="13" t="str">
        <f t="shared" ref="D9:J9" ca="1" si="0">TEXT(D10, "dddd")</f>
        <v>Sunday</v>
      </c>
      <c r="E9" s="13" t="str">
        <f t="shared" ca="1" si="0"/>
        <v>Monday</v>
      </c>
      <c r="F9" s="13" t="str">
        <f t="shared" ca="1" si="0"/>
        <v>Tuesday</v>
      </c>
      <c r="G9" s="13" t="str">
        <f t="shared" ca="1" si="0"/>
        <v>Wednesday</v>
      </c>
      <c r="H9" s="13" t="str">
        <f t="shared" ca="1" si="0"/>
        <v>Thursday</v>
      </c>
      <c r="I9" s="13" t="str">
        <f t="shared" ca="1" si="0"/>
        <v>Friday</v>
      </c>
      <c r="J9" s="13" t="str">
        <f t="shared" ca="1" si="0"/>
        <v>Saturday</v>
      </c>
      <c r="L9" s="27"/>
      <c r="O9" s="27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>
      <c r="A10" s="14" t="s">
        <v>54</v>
      </c>
      <c r="B10" s="14" t="s">
        <v>53</v>
      </c>
      <c r="C10" s="32" t="s">
        <v>46</v>
      </c>
      <c r="D10" s="15">
        <f t="shared" ref="D10:I10" ca="1" si="1">E10-1</f>
        <v>45431</v>
      </c>
      <c r="E10" s="15">
        <f t="shared" ca="1" si="1"/>
        <v>45432</v>
      </c>
      <c r="F10" s="15">
        <f t="shared" ca="1" si="1"/>
        <v>45433</v>
      </c>
      <c r="G10" s="15">
        <f t="shared" ca="1" si="1"/>
        <v>45434</v>
      </c>
      <c r="H10" s="15">
        <f t="shared" ca="1" si="1"/>
        <v>45435</v>
      </c>
      <c r="I10" s="15">
        <f t="shared" ca="1" si="1"/>
        <v>45436</v>
      </c>
      <c r="J10" s="15">
        <f ca="1">A3</f>
        <v>45437</v>
      </c>
      <c r="K10" s="13" t="s">
        <v>5</v>
      </c>
      <c r="L10" s="24" t="s">
        <v>52</v>
      </c>
      <c r="M10" s="13" t="s">
        <v>6</v>
      </c>
      <c r="O10" s="24" t="s">
        <v>56</v>
      </c>
      <c r="X10" s="46" t="s">
        <v>7</v>
      </c>
      <c r="Y10" s="46"/>
      <c r="Z10" s="46"/>
      <c r="AA10" s="46"/>
      <c r="AB10" s="46"/>
      <c r="AC10" s="46"/>
      <c r="AD10" s="46"/>
    </row>
    <row r="11" spans="1:31" ht="75">
      <c r="A11" s="38" t="s">
        <v>113</v>
      </c>
      <c r="B11" s="8" t="s">
        <v>117</v>
      </c>
      <c r="C11" s="16"/>
      <c r="D11" s="17"/>
      <c r="E11" s="2"/>
      <c r="F11" s="2"/>
      <c r="G11" s="2"/>
      <c r="H11" s="2"/>
      <c r="I11" s="2"/>
      <c r="J11" s="17"/>
      <c r="K11" s="1">
        <f t="shared" ref="K11:K74" si="2">SUM(D11:J11)</f>
        <v>0</v>
      </c>
      <c r="L11" s="8" t="s">
        <v>181</v>
      </c>
      <c r="M11" s="3"/>
      <c r="N11" s="10"/>
      <c r="O11" s="5" t="s">
        <v>180</v>
      </c>
      <c r="P11" s="10"/>
      <c r="Q11" s="10"/>
      <c r="R11" s="10"/>
      <c r="S11" s="10"/>
      <c r="U11" s="10"/>
      <c r="V11" s="10"/>
      <c r="W11" s="10"/>
      <c r="X11" s="18">
        <f t="shared" ref="X11:AD11" ca="1" si="3">LEN(IFERROR(_xlfn.FORMULATEXT(D11),""))-LEN(SUBSTITUTE(IFERROR(_xlfn.FORMULATEXT(D11),""),"=",""))+LEN(IFERROR(_xlfn.FORMULATEXT(D11),""))-LEN(SUBSTITUTE(IFERROR(_xlfn.FORMULATEXT(D11),""),"+",""))</f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18">
        <f t="shared" ca="1" si="3"/>
        <v>0</v>
      </c>
      <c r="AC11" s="18">
        <f t="shared" ca="1" si="3"/>
        <v>0</v>
      </c>
      <c r="AD11" s="18">
        <f t="shared" ca="1" si="3"/>
        <v>0</v>
      </c>
    </row>
    <row r="12" spans="1:31" ht="75">
      <c r="A12" s="38" t="s">
        <v>113</v>
      </c>
      <c r="B12" s="8" t="s">
        <v>118</v>
      </c>
      <c r="C12" s="16"/>
      <c r="D12" s="17"/>
      <c r="E12" s="2"/>
      <c r="F12" s="2"/>
      <c r="G12" s="2"/>
      <c r="H12" s="2"/>
      <c r="I12" s="2"/>
      <c r="J12" s="17"/>
      <c r="K12" s="1">
        <f t="shared" si="2"/>
        <v>0</v>
      </c>
      <c r="L12" s="8" t="s">
        <v>181</v>
      </c>
      <c r="M12" s="3"/>
      <c r="N12" s="10"/>
      <c r="O12" s="5" t="s">
        <v>180</v>
      </c>
      <c r="P12" s="10"/>
      <c r="Q12" s="10"/>
      <c r="R12" s="10"/>
      <c r="S12" s="10"/>
      <c r="U12" s="10"/>
      <c r="V12" s="10"/>
      <c r="W12" s="10"/>
      <c r="X12" s="18">
        <f t="shared" ref="X12:X14" ca="1" si="4">LEN(IFERROR(_xlfn.FORMULATEXT(D12),""))-LEN(SUBSTITUTE(IFERROR(_xlfn.FORMULATEXT(D12),""),"=",""))+LEN(IFERROR(_xlfn.FORMULATEXT(D12),""))-LEN(SUBSTITUTE(IFERROR(_xlfn.FORMULATEXT(D12),""),"+",""))</f>
        <v>0</v>
      </c>
      <c r="Y12" s="18">
        <f t="shared" ref="Y12:Y14" ca="1" si="5">LEN(IFERROR(_xlfn.FORMULATEXT(E12),""))-LEN(SUBSTITUTE(IFERROR(_xlfn.FORMULATEXT(E12),""),"=",""))+LEN(IFERROR(_xlfn.FORMULATEXT(E12),""))-LEN(SUBSTITUTE(IFERROR(_xlfn.FORMULATEXT(E12),""),"+",""))</f>
        <v>0</v>
      </c>
      <c r="Z12" s="18">
        <f t="shared" ref="Z12:Z14" ca="1" si="6">LEN(IFERROR(_xlfn.FORMULATEXT(F12),""))-LEN(SUBSTITUTE(IFERROR(_xlfn.FORMULATEXT(F12),""),"=",""))+LEN(IFERROR(_xlfn.FORMULATEXT(F12),""))-LEN(SUBSTITUTE(IFERROR(_xlfn.FORMULATEXT(F12),""),"+",""))</f>
        <v>0</v>
      </c>
      <c r="AA12" s="18">
        <f t="shared" ref="AA12:AA14" ca="1" si="7">LEN(IFERROR(_xlfn.FORMULATEXT(G12),""))-LEN(SUBSTITUTE(IFERROR(_xlfn.FORMULATEXT(G12),""),"=",""))+LEN(IFERROR(_xlfn.FORMULATEXT(G12),""))-LEN(SUBSTITUTE(IFERROR(_xlfn.FORMULATEXT(G12),""),"+",""))</f>
        <v>0</v>
      </c>
      <c r="AB12" s="18">
        <f t="shared" ref="AB12:AB14" ca="1" si="8">LEN(IFERROR(_xlfn.FORMULATEXT(H12),""))-LEN(SUBSTITUTE(IFERROR(_xlfn.FORMULATEXT(H12),""),"=",""))+LEN(IFERROR(_xlfn.FORMULATEXT(H12),""))-LEN(SUBSTITUTE(IFERROR(_xlfn.FORMULATEXT(H12),""),"+",""))</f>
        <v>0</v>
      </c>
      <c r="AC12" s="18">
        <f t="shared" ref="AC12:AC14" ca="1" si="9">LEN(IFERROR(_xlfn.FORMULATEXT(I12),""))-LEN(SUBSTITUTE(IFERROR(_xlfn.FORMULATEXT(I12),""),"=",""))+LEN(IFERROR(_xlfn.FORMULATEXT(I12),""))-LEN(SUBSTITUTE(IFERROR(_xlfn.FORMULATEXT(I12),""),"+",""))</f>
        <v>0</v>
      </c>
      <c r="AD12" s="18">
        <f t="shared" ref="AD12:AD14" ca="1" si="10">LEN(IFERROR(_xlfn.FORMULATEXT(J12),""))-LEN(SUBSTITUTE(IFERROR(_xlfn.FORMULATEXT(J12),""),"=",""))+LEN(IFERROR(_xlfn.FORMULATEXT(J12),""))-LEN(SUBSTITUTE(IFERROR(_xlfn.FORMULATEXT(J12),""),"+",""))</f>
        <v>0</v>
      </c>
    </row>
    <row r="13" spans="1:31" ht="75">
      <c r="A13" s="38" t="s">
        <v>113</v>
      </c>
      <c r="B13" s="8" t="s">
        <v>119</v>
      </c>
      <c r="C13" s="16"/>
      <c r="D13" s="17"/>
      <c r="E13" s="2"/>
      <c r="F13" s="2"/>
      <c r="G13" s="2"/>
      <c r="H13" s="2"/>
      <c r="I13" s="2"/>
      <c r="J13" s="17"/>
      <c r="K13" s="1">
        <f t="shared" si="2"/>
        <v>0</v>
      </c>
      <c r="L13" s="8" t="s">
        <v>181</v>
      </c>
      <c r="M13" s="3"/>
      <c r="N13" s="10"/>
      <c r="O13" s="5" t="s">
        <v>180</v>
      </c>
      <c r="P13" s="10"/>
      <c r="Q13" s="10"/>
      <c r="R13" s="10"/>
      <c r="S13" s="10"/>
      <c r="U13" s="10"/>
      <c r="V13" s="10"/>
      <c r="W13" s="10"/>
      <c r="X13" s="18">
        <f t="shared" ca="1" si="4"/>
        <v>0</v>
      </c>
      <c r="Y13" s="18">
        <f t="shared" ca="1" si="5"/>
        <v>0</v>
      </c>
      <c r="Z13" s="18">
        <f t="shared" ca="1" si="6"/>
        <v>0</v>
      </c>
      <c r="AA13" s="18">
        <f t="shared" ca="1" si="7"/>
        <v>0</v>
      </c>
      <c r="AB13" s="18">
        <f t="shared" ca="1" si="8"/>
        <v>0</v>
      </c>
      <c r="AC13" s="18">
        <f t="shared" ca="1" si="9"/>
        <v>0</v>
      </c>
      <c r="AD13" s="18">
        <f t="shared" ca="1" si="10"/>
        <v>0</v>
      </c>
    </row>
    <row r="14" spans="1:31" ht="75">
      <c r="A14" s="38" t="s">
        <v>113</v>
      </c>
      <c r="B14" s="8" t="s">
        <v>120</v>
      </c>
      <c r="C14" s="16"/>
      <c r="D14" s="17"/>
      <c r="E14" s="2"/>
      <c r="F14" s="2"/>
      <c r="G14" s="2"/>
      <c r="H14" s="2"/>
      <c r="I14" s="2"/>
      <c r="J14" s="17"/>
      <c r="K14" s="1">
        <f>SUM(D14:J14)</f>
        <v>0</v>
      </c>
      <c r="L14" s="8" t="s">
        <v>181</v>
      </c>
      <c r="M14" s="3"/>
      <c r="N14" s="10"/>
      <c r="O14" s="5" t="s">
        <v>181</v>
      </c>
      <c r="P14" s="10"/>
      <c r="Q14" s="10"/>
      <c r="R14" s="10"/>
      <c r="S14" s="10"/>
      <c r="U14" s="10"/>
      <c r="V14" s="10"/>
      <c r="W14" s="10"/>
      <c r="X14" s="18">
        <f t="shared" ca="1" si="4"/>
        <v>0</v>
      </c>
      <c r="Y14" s="18">
        <f t="shared" ca="1" si="5"/>
        <v>0</v>
      </c>
      <c r="Z14" s="18">
        <f t="shared" ca="1" si="6"/>
        <v>0</v>
      </c>
      <c r="AA14" s="18">
        <f t="shared" ca="1" si="7"/>
        <v>0</v>
      </c>
      <c r="AB14" s="18">
        <f t="shared" ca="1" si="8"/>
        <v>0</v>
      </c>
      <c r="AC14" s="18">
        <f t="shared" ca="1" si="9"/>
        <v>0</v>
      </c>
      <c r="AD14" s="18">
        <f t="shared" ca="1" si="10"/>
        <v>0</v>
      </c>
    </row>
    <row r="15" spans="1:31" ht="75">
      <c r="A15" s="38" t="s">
        <v>113</v>
      </c>
      <c r="B15" s="8" t="s">
        <v>121</v>
      </c>
      <c r="C15" s="16"/>
      <c r="D15" s="17"/>
      <c r="E15" s="2"/>
      <c r="F15" s="2"/>
      <c r="G15" s="2"/>
      <c r="H15" s="2"/>
      <c r="I15" s="2"/>
      <c r="J15" s="17"/>
      <c r="K15" s="1">
        <f t="shared" si="2"/>
        <v>0</v>
      </c>
      <c r="L15" s="8" t="s">
        <v>181</v>
      </c>
      <c r="M15" s="3"/>
      <c r="N15" s="10"/>
      <c r="O15" s="5" t="s">
        <v>180</v>
      </c>
      <c r="P15" s="10"/>
      <c r="Q15" s="10"/>
      <c r="R15" s="10"/>
      <c r="S15" s="10"/>
      <c r="U15" s="10"/>
      <c r="V15" s="10"/>
      <c r="W15" s="10"/>
      <c r="X15" s="18">
        <f t="shared" ref="X15:X75" ca="1" si="11">LEN(IFERROR(_xlfn.FORMULATEXT(D15),""))-LEN(SUBSTITUTE(IFERROR(_xlfn.FORMULATEXT(D15),""),"=",""))+LEN(IFERROR(_xlfn.FORMULATEXT(D15),""))-LEN(SUBSTITUTE(IFERROR(_xlfn.FORMULATEXT(D15),""),"+",""))</f>
        <v>0</v>
      </c>
      <c r="Y15" s="18">
        <f t="shared" ref="Y15:Y75" ca="1" si="12">LEN(IFERROR(_xlfn.FORMULATEXT(E15),""))-LEN(SUBSTITUTE(IFERROR(_xlfn.FORMULATEXT(E15),""),"=",""))+LEN(IFERROR(_xlfn.FORMULATEXT(E15),""))-LEN(SUBSTITUTE(IFERROR(_xlfn.FORMULATEXT(E15),""),"+",""))</f>
        <v>0</v>
      </c>
      <c r="Z15" s="18">
        <f t="shared" ref="Z15:Z75" ca="1" si="13">LEN(IFERROR(_xlfn.FORMULATEXT(F15),""))-LEN(SUBSTITUTE(IFERROR(_xlfn.FORMULATEXT(F15),""),"=",""))+LEN(IFERROR(_xlfn.FORMULATEXT(F15),""))-LEN(SUBSTITUTE(IFERROR(_xlfn.FORMULATEXT(F15),""),"+",""))</f>
        <v>0</v>
      </c>
      <c r="AA15" s="18">
        <f t="shared" ref="AA15:AA75" ca="1" si="14">LEN(IFERROR(_xlfn.FORMULATEXT(G15),""))-LEN(SUBSTITUTE(IFERROR(_xlfn.FORMULATEXT(G15),""),"=",""))+LEN(IFERROR(_xlfn.FORMULATEXT(G15),""))-LEN(SUBSTITUTE(IFERROR(_xlfn.FORMULATEXT(G15),""),"+",""))</f>
        <v>0</v>
      </c>
      <c r="AB15" s="18">
        <f t="shared" ref="AB15:AB75" ca="1" si="15">LEN(IFERROR(_xlfn.FORMULATEXT(H15),""))-LEN(SUBSTITUTE(IFERROR(_xlfn.FORMULATEXT(H15),""),"=",""))+LEN(IFERROR(_xlfn.FORMULATEXT(H15),""))-LEN(SUBSTITUTE(IFERROR(_xlfn.FORMULATEXT(H15),""),"+",""))</f>
        <v>0</v>
      </c>
      <c r="AC15" s="18">
        <f t="shared" ref="AC15:AC75" ca="1" si="16">LEN(IFERROR(_xlfn.FORMULATEXT(I15),""))-LEN(SUBSTITUTE(IFERROR(_xlfn.FORMULATEXT(I15),""),"=",""))+LEN(IFERROR(_xlfn.FORMULATEXT(I15),""))-LEN(SUBSTITUTE(IFERROR(_xlfn.FORMULATEXT(I15),""),"+",""))</f>
        <v>0</v>
      </c>
      <c r="AD15" s="18">
        <f t="shared" ref="AD15:AD75" ca="1" si="17">LEN(IFERROR(_xlfn.FORMULATEXT(J15),""))-LEN(SUBSTITUTE(IFERROR(_xlfn.FORMULATEXT(J15),""),"=",""))+LEN(IFERROR(_xlfn.FORMULATEXT(J15),""))-LEN(SUBSTITUTE(IFERROR(_xlfn.FORMULATEXT(J15),""),"+",""))</f>
        <v>0</v>
      </c>
    </row>
    <row r="16" spans="1:31" ht="75">
      <c r="A16" s="38" t="s">
        <v>113</v>
      </c>
      <c r="B16" s="8" t="s">
        <v>122</v>
      </c>
      <c r="C16" s="16"/>
      <c r="D16" s="17"/>
      <c r="E16" s="2"/>
      <c r="F16" s="2"/>
      <c r="G16" s="2"/>
      <c r="H16" s="2"/>
      <c r="I16" s="2"/>
      <c r="J16" s="17"/>
      <c r="K16" s="1">
        <f t="shared" si="2"/>
        <v>0</v>
      </c>
      <c r="L16" s="8" t="s">
        <v>181</v>
      </c>
      <c r="M16" s="3"/>
      <c r="N16" s="10"/>
      <c r="O16" s="5" t="s">
        <v>180</v>
      </c>
      <c r="P16" s="10"/>
      <c r="Q16" s="10"/>
      <c r="R16" s="10"/>
      <c r="S16" s="10"/>
      <c r="U16" s="10"/>
      <c r="V16" s="10"/>
      <c r="W16" s="10"/>
      <c r="X16" s="18">
        <f t="shared" ca="1" si="11"/>
        <v>0</v>
      </c>
      <c r="Y16" s="18">
        <f t="shared" ca="1" si="12"/>
        <v>0</v>
      </c>
      <c r="Z16" s="18">
        <f t="shared" ca="1" si="13"/>
        <v>0</v>
      </c>
      <c r="AA16" s="18">
        <f t="shared" ca="1" si="14"/>
        <v>0</v>
      </c>
      <c r="AB16" s="18">
        <f t="shared" ca="1" si="15"/>
        <v>0</v>
      </c>
      <c r="AC16" s="18">
        <f t="shared" ca="1" si="16"/>
        <v>0</v>
      </c>
      <c r="AD16" s="18">
        <f t="shared" ca="1" si="17"/>
        <v>0</v>
      </c>
    </row>
    <row r="17" spans="1:30" ht="75">
      <c r="A17" s="38" t="s">
        <v>113</v>
      </c>
      <c r="B17" s="8" t="s">
        <v>123</v>
      </c>
      <c r="C17" s="16"/>
      <c r="D17" s="17"/>
      <c r="E17" s="2">
        <f>0.5</f>
        <v>0.5</v>
      </c>
      <c r="F17" s="2"/>
      <c r="G17" s="2"/>
      <c r="H17" s="2"/>
      <c r="I17" s="2"/>
      <c r="J17" s="17"/>
      <c r="K17" s="1">
        <f t="shared" si="2"/>
        <v>0.5</v>
      </c>
      <c r="L17" s="8" t="s">
        <v>185</v>
      </c>
      <c r="M17" s="3"/>
      <c r="N17" s="10"/>
      <c r="O17" s="5" t="s">
        <v>180</v>
      </c>
      <c r="P17" s="10"/>
      <c r="Q17" s="10"/>
      <c r="R17" s="10"/>
      <c r="S17" s="10"/>
      <c r="U17" s="10"/>
      <c r="V17" s="10"/>
      <c r="W17" s="10"/>
      <c r="X17" s="18">
        <f t="shared" ca="1" si="11"/>
        <v>0</v>
      </c>
      <c r="Y17" s="18">
        <f t="shared" ca="1" si="12"/>
        <v>1</v>
      </c>
      <c r="Z17" s="18">
        <f t="shared" ca="1" si="13"/>
        <v>0</v>
      </c>
      <c r="AA17" s="18">
        <f t="shared" ca="1" si="14"/>
        <v>0</v>
      </c>
      <c r="AB17" s="18">
        <f t="shared" ca="1" si="15"/>
        <v>0</v>
      </c>
      <c r="AC17" s="18">
        <f t="shared" ca="1" si="16"/>
        <v>0</v>
      </c>
      <c r="AD17" s="18">
        <f t="shared" ca="1" si="17"/>
        <v>0</v>
      </c>
    </row>
    <row r="18" spans="1:30" ht="75">
      <c r="A18" s="38" t="s">
        <v>113</v>
      </c>
      <c r="B18" s="8" t="s">
        <v>124</v>
      </c>
      <c r="C18" s="16"/>
      <c r="D18" s="17"/>
      <c r="E18" s="2"/>
      <c r="F18" s="2"/>
      <c r="G18" s="2"/>
      <c r="H18" s="2"/>
      <c r="I18" s="2"/>
      <c r="J18" s="17"/>
      <c r="K18" s="1">
        <f t="shared" si="2"/>
        <v>0</v>
      </c>
      <c r="L18" s="8" t="s">
        <v>181</v>
      </c>
      <c r="M18" s="3"/>
      <c r="N18" s="10"/>
      <c r="O18" s="5" t="s">
        <v>180</v>
      </c>
      <c r="P18" s="10"/>
      <c r="Q18" s="10"/>
      <c r="R18" s="10"/>
      <c r="S18" s="10"/>
      <c r="U18" s="10"/>
      <c r="V18" s="10"/>
      <c r="W18" s="10"/>
      <c r="X18" s="18">
        <f t="shared" ca="1" si="11"/>
        <v>0</v>
      </c>
      <c r="Y18" s="18">
        <f t="shared" ca="1" si="12"/>
        <v>0</v>
      </c>
      <c r="Z18" s="18">
        <f t="shared" ca="1" si="13"/>
        <v>0</v>
      </c>
      <c r="AA18" s="18">
        <f t="shared" ca="1" si="14"/>
        <v>0</v>
      </c>
      <c r="AB18" s="18">
        <f t="shared" ca="1" si="15"/>
        <v>0</v>
      </c>
      <c r="AC18" s="18">
        <f t="shared" ca="1" si="16"/>
        <v>0</v>
      </c>
      <c r="AD18" s="18">
        <f t="shared" ca="1" si="17"/>
        <v>0</v>
      </c>
    </row>
    <row r="19" spans="1:30" ht="75">
      <c r="A19" s="38" t="s">
        <v>113</v>
      </c>
      <c r="B19" s="8" t="s">
        <v>125</v>
      </c>
      <c r="C19" s="16"/>
      <c r="D19" s="17"/>
      <c r="E19" s="2"/>
      <c r="F19" s="2"/>
      <c r="G19" s="2"/>
      <c r="H19" s="2"/>
      <c r="I19" s="2"/>
      <c r="J19" s="17"/>
      <c r="K19" s="1">
        <f t="shared" si="2"/>
        <v>0</v>
      </c>
      <c r="L19" s="8" t="s">
        <v>181</v>
      </c>
      <c r="M19" s="3"/>
      <c r="N19" s="10"/>
      <c r="O19" s="5" t="s">
        <v>180</v>
      </c>
      <c r="P19" s="10"/>
      <c r="Q19" s="10"/>
      <c r="R19" s="10"/>
      <c r="S19" s="10"/>
      <c r="U19" s="10"/>
      <c r="V19" s="10"/>
      <c r="W19" s="10"/>
      <c r="X19" s="18">
        <f t="shared" ca="1" si="11"/>
        <v>0</v>
      </c>
      <c r="Y19" s="18">
        <f t="shared" ca="1" si="12"/>
        <v>0</v>
      </c>
      <c r="Z19" s="18">
        <f t="shared" ca="1" si="13"/>
        <v>0</v>
      </c>
      <c r="AA19" s="18">
        <f t="shared" ca="1" si="14"/>
        <v>0</v>
      </c>
      <c r="AB19" s="18">
        <f t="shared" ca="1" si="15"/>
        <v>0</v>
      </c>
      <c r="AC19" s="18">
        <f t="shared" ca="1" si="16"/>
        <v>0</v>
      </c>
      <c r="AD19" s="18">
        <f t="shared" ca="1" si="17"/>
        <v>0</v>
      </c>
    </row>
    <row r="20" spans="1:30" ht="75">
      <c r="A20" s="38" t="s">
        <v>113</v>
      </c>
      <c r="B20" s="8" t="s">
        <v>126</v>
      </c>
      <c r="C20" s="16"/>
      <c r="D20" s="17"/>
      <c r="E20" s="2"/>
      <c r="F20" s="2"/>
      <c r="G20" s="2"/>
      <c r="H20" s="2"/>
      <c r="I20" s="2"/>
      <c r="J20" s="17"/>
      <c r="K20" s="1">
        <f t="shared" si="2"/>
        <v>0</v>
      </c>
      <c r="L20" s="8" t="s">
        <v>181</v>
      </c>
      <c r="M20" s="3"/>
      <c r="N20" s="10"/>
      <c r="O20" s="5" t="s">
        <v>180</v>
      </c>
      <c r="P20" s="10"/>
      <c r="Q20" s="10"/>
      <c r="R20" s="10"/>
      <c r="S20" s="10"/>
      <c r="U20" s="10"/>
      <c r="V20" s="10"/>
      <c r="W20" s="10"/>
      <c r="X20" s="18">
        <f t="shared" ca="1" si="11"/>
        <v>0</v>
      </c>
      <c r="Y20" s="18">
        <f t="shared" ca="1" si="12"/>
        <v>0</v>
      </c>
      <c r="Z20" s="18">
        <f t="shared" ca="1" si="13"/>
        <v>0</v>
      </c>
      <c r="AA20" s="18">
        <f t="shared" ca="1" si="14"/>
        <v>0</v>
      </c>
      <c r="AB20" s="18">
        <f t="shared" ca="1" si="15"/>
        <v>0</v>
      </c>
      <c r="AC20" s="18">
        <f t="shared" ca="1" si="16"/>
        <v>0</v>
      </c>
      <c r="AD20" s="18">
        <f t="shared" ca="1" si="17"/>
        <v>0</v>
      </c>
    </row>
    <row r="21" spans="1:30" ht="75">
      <c r="A21" s="38" t="s">
        <v>113</v>
      </c>
      <c r="B21" s="8" t="s">
        <v>127</v>
      </c>
      <c r="C21" s="16"/>
      <c r="D21" s="17"/>
      <c r="E21" s="2"/>
      <c r="F21" s="2"/>
      <c r="G21" s="2"/>
      <c r="H21" s="2"/>
      <c r="I21" s="2"/>
      <c r="J21" s="17"/>
      <c r="K21" s="1">
        <f t="shared" si="2"/>
        <v>0</v>
      </c>
      <c r="L21" s="8" t="s">
        <v>181</v>
      </c>
      <c r="M21" s="3"/>
      <c r="N21" s="10"/>
      <c r="O21" s="5" t="s">
        <v>180</v>
      </c>
      <c r="P21" s="10"/>
      <c r="Q21" s="10"/>
      <c r="R21" s="10"/>
      <c r="S21" s="10"/>
      <c r="U21" s="10"/>
      <c r="V21" s="10"/>
      <c r="W21" s="10"/>
      <c r="X21" s="18">
        <f t="shared" ca="1" si="11"/>
        <v>0</v>
      </c>
      <c r="Y21" s="18">
        <f t="shared" ca="1" si="12"/>
        <v>0</v>
      </c>
      <c r="Z21" s="18">
        <f t="shared" ca="1" si="13"/>
        <v>0</v>
      </c>
      <c r="AA21" s="18">
        <f t="shared" ca="1" si="14"/>
        <v>0</v>
      </c>
      <c r="AB21" s="18">
        <f t="shared" ca="1" si="15"/>
        <v>0</v>
      </c>
      <c r="AC21" s="18">
        <f t="shared" ca="1" si="16"/>
        <v>0</v>
      </c>
      <c r="AD21" s="18">
        <f t="shared" ca="1" si="17"/>
        <v>0</v>
      </c>
    </row>
    <row r="22" spans="1:30" ht="75">
      <c r="A22" s="38" t="s">
        <v>113</v>
      </c>
      <c r="B22" s="8" t="s">
        <v>128</v>
      </c>
      <c r="C22" s="16"/>
      <c r="D22" s="17"/>
      <c r="E22" s="2"/>
      <c r="F22" s="2"/>
      <c r="G22" s="2"/>
      <c r="H22" s="2"/>
      <c r="I22" s="2"/>
      <c r="J22" s="17"/>
      <c r="K22" s="1">
        <f t="shared" si="2"/>
        <v>0</v>
      </c>
      <c r="L22" s="8" t="s">
        <v>181</v>
      </c>
      <c r="M22" s="3"/>
      <c r="N22" s="10"/>
      <c r="O22" s="5" t="s">
        <v>181</v>
      </c>
      <c r="P22" s="10"/>
      <c r="Q22" s="10"/>
      <c r="R22" s="10"/>
      <c r="S22" s="10"/>
      <c r="U22" s="10"/>
      <c r="V22" s="10"/>
      <c r="W22" s="10"/>
      <c r="X22" s="18">
        <f t="shared" ca="1" si="11"/>
        <v>0</v>
      </c>
      <c r="Y22" s="18">
        <f t="shared" ca="1" si="12"/>
        <v>0</v>
      </c>
      <c r="Z22" s="18">
        <f t="shared" ca="1" si="13"/>
        <v>0</v>
      </c>
      <c r="AA22" s="18">
        <f t="shared" ca="1" si="14"/>
        <v>0</v>
      </c>
      <c r="AB22" s="18">
        <f t="shared" ca="1" si="15"/>
        <v>0</v>
      </c>
      <c r="AC22" s="18">
        <f t="shared" ca="1" si="16"/>
        <v>0</v>
      </c>
      <c r="AD22" s="18">
        <f t="shared" ca="1" si="17"/>
        <v>0</v>
      </c>
    </row>
    <row r="23" spans="1:30" ht="75">
      <c r="A23" s="38" t="s">
        <v>113</v>
      </c>
      <c r="B23" s="8" t="s">
        <v>129</v>
      </c>
      <c r="C23" s="16"/>
      <c r="D23" s="17"/>
      <c r="E23" s="2"/>
      <c r="F23" s="2"/>
      <c r="G23" s="2"/>
      <c r="H23" s="2"/>
      <c r="I23" s="2"/>
      <c r="J23" s="17"/>
      <c r="K23" s="1">
        <f t="shared" si="2"/>
        <v>0</v>
      </c>
      <c r="L23" s="8" t="s">
        <v>181</v>
      </c>
      <c r="M23" s="3"/>
      <c r="N23" s="10"/>
      <c r="O23" s="5" t="s">
        <v>180</v>
      </c>
      <c r="P23" s="10"/>
      <c r="Q23" s="10"/>
      <c r="R23" s="10"/>
      <c r="S23" s="10"/>
      <c r="U23" s="10"/>
      <c r="V23" s="10"/>
      <c r="W23" s="10"/>
      <c r="X23" s="18">
        <f t="shared" ca="1" si="11"/>
        <v>0</v>
      </c>
      <c r="Y23" s="18">
        <f t="shared" ca="1" si="12"/>
        <v>0</v>
      </c>
      <c r="Z23" s="18">
        <f t="shared" ca="1" si="13"/>
        <v>0</v>
      </c>
      <c r="AA23" s="18">
        <f t="shared" ca="1" si="14"/>
        <v>0</v>
      </c>
      <c r="AB23" s="18">
        <f t="shared" ca="1" si="15"/>
        <v>0</v>
      </c>
      <c r="AC23" s="18">
        <f t="shared" ca="1" si="16"/>
        <v>0</v>
      </c>
      <c r="AD23" s="18">
        <f t="shared" ca="1" si="17"/>
        <v>0</v>
      </c>
    </row>
    <row r="24" spans="1:30" ht="75">
      <c r="A24" s="38" t="s">
        <v>113</v>
      </c>
      <c r="B24" s="8" t="s">
        <v>130</v>
      </c>
      <c r="C24" s="16"/>
      <c r="D24" s="17"/>
      <c r="E24" s="2"/>
      <c r="F24" s="2"/>
      <c r="G24" s="2"/>
      <c r="H24" s="2"/>
      <c r="I24" s="2"/>
      <c r="J24" s="17"/>
      <c r="K24" s="1">
        <f t="shared" si="2"/>
        <v>0</v>
      </c>
      <c r="L24" s="8" t="s">
        <v>181</v>
      </c>
      <c r="M24" s="3"/>
      <c r="N24" s="10"/>
      <c r="O24" s="5" t="s">
        <v>180</v>
      </c>
      <c r="P24" s="10"/>
      <c r="Q24" s="10"/>
      <c r="R24" s="10"/>
      <c r="S24" s="10"/>
      <c r="U24" s="10"/>
      <c r="V24" s="10"/>
      <c r="W24" s="10"/>
      <c r="X24" s="18">
        <f t="shared" ca="1" si="11"/>
        <v>0</v>
      </c>
      <c r="Y24" s="18">
        <f t="shared" ca="1" si="12"/>
        <v>0</v>
      </c>
      <c r="Z24" s="18">
        <f t="shared" ca="1" si="13"/>
        <v>0</v>
      </c>
      <c r="AA24" s="18">
        <f t="shared" ca="1" si="14"/>
        <v>0</v>
      </c>
      <c r="AB24" s="18">
        <f t="shared" ca="1" si="15"/>
        <v>0</v>
      </c>
      <c r="AC24" s="18">
        <f t="shared" ca="1" si="16"/>
        <v>0</v>
      </c>
      <c r="AD24" s="18">
        <f t="shared" ca="1" si="17"/>
        <v>0</v>
      </c>
    </row>
    <row r="25" spans="1:30" ht="75">
      <c r="A25" s="38" t="s">
        <v>113</v>
      </c>
      <c r="B25" s="8" t="s">
        <v>131</v>
      </c>
      <c r="C25" s="16"/>
      <c r="D25" s="17"/>
      <c r="E25" s="2"/>
      <c r="F25" s="2"/>
      <c r="G25" s="2"/>
      <c r="H25" s="2"/>
      <c r="I25" s="2"/>
      <c r="J25" s="17"/>
      <c r="K25" s="1">
        <f t="shared" si="2"/>
        <v>0</v>
      </c>
      <c r="L25" s="8" t="s">
        <v>181</v>
      </c>
      <c r="M25" s="3"/>
      <c r="N25" s="10"/>
      <c r="O25" s="5" t="s">
        <v>180</v>
      </c>
      <c r="P25" s="10"/>
      <c r="Q25" s="10"/>
      <c r="R25" s="10"/>
      <c r="S25" s="10"/>
      <c r="U25" s="10"/>
      <c r="V25" s="10"/>
      <c r="W25" s="10"/>
      <c r="X25" s="18">
        <f t="shared" ca="1" si="11"/>
        <v>0</v>
      </c>
      <c r="Y25" s="18">
        <f t="shared" ca="1" si="12"/>
        <v>0</v>
      </c>
      <c r="Z25" s="18">
        <f t="shared" ca="1" si="13"/>
        <v>0</v>
      </c>
      <c r="AA25" s="18">
        <f t="shared" ca="1" si="14"/>
        <v>0</v>
      </c>
      <c r="AB25" s="18">
        <f t="shared" ca="1" si="15"/>
        <v>0</v>
      </c>
      <c r="AC25" s="18">
        <f t="shared" ca="1" si="16"/>
        <v>0</v>
      </c>
      <c r="AD25" s="18">
        <f t="shared" ca="1" si="17"/>
        <v>0</v>
      </c>
    </row>
    <row r="26" spans="1:30" ht="75">
      <c r="A26" s="38" t="s">
        <v>113</v>
      </c>
      <c r="B26" s="8" t="s">
        <v>132</v>
      </c>
      <c r="C26" s="16"/>
      <c r="D26" s="17"/>
      <c r="E26" s="2"/>
      <c r="F26" s="2"/>
      <c r="G26" s="2"/>
      <c r="H26" s="2"/>
      <c r="I26" s="2"/>
      <c r="J26" s="17"/>
      <c r="K26" s="1">
        <f t="shared" si="2"/>
        <v>0</v>
      </c>
      <c r="L26" s="8" t="s">
        <v>181</v>
      </c>
      <c r="M26" s="3"/>
      <c r="N26" s="10"/>
      <c r="O26" s="5" t="s">
        <v>180</v>
      </c>
      <c r="P26" s="10"/>
      <c r="Q26" s="10"/>
      <c r="R26" s="10"/>
      <c r="S26" s="10"/>
      <c r="U26" s="10"/>
      <c r="V26" s="10"/>
      <c r="W26" s="10"/>
      <c r="X26" s="18">
        <f t="shared" ca="1" si="11"/>
        <v>0</v>
      </c>
      <c r="Y26" s="18">
        <f t="shared" ca="1" si="12"/>
        <v>0</v>
      </c>
      <c r="Z26" s="18">
        <f t="shared" ca="1" si="13"/>
        <v>0</v>
      </c>
      <c r="AA26" s="18">
        <f t="shared" ca="1" si="14"/>
        <v>0</v>
      </c>
      <c r="AB26" s="18">
        <f t="shared" ca="1" si="15"/>
        <v>0</v>
      </c>
      <c r="AC26" s="18">
        <f t="shared" ca="1" si="16"/>
        <v>0</v>
      </c>
      <c r="AD26" s="18">
        <f t="shared" ca="1" si="17"/>
        <v>0</v>
      </c>
    </row>
    <row r="27" spans="1:30" ht="75">
      <c r="A27" s="38" t="s">
        <v>113</v>
      </c>
      <c r="B27" s="8" t="s">
        <v>133</v>
      </c>
      <c r="C27" s="16"/>
      <c r="D27" s="17"/>
      <c r="E27" s="2"/>
      <c r="F27" s="2"/>
      <c r="G27" s="2"/>
      <c r="H27" s="2"/>
      <c r="I27" s="2"/>
      <c r="J27" s="17"/>
      <c r="K27" s="1">
        <f t="shared" si="2"/>
        <v>0</v>
      </c>
      <c r="L27" s="8" t="s">
        <v>181</v>
      </c>
      <c r="M27" s="3"/>
      <c r="N27" s="10"/>
      <c r="O27" s="5" t="s">
        <v>180</v>
      </c>
      <c r="P27" s="10"/>
      <c r="Q27" s="10"/>
      <c r="R27" s="10"/>
      <c r="S27" s="10"/>
      <c r="U27" s="10"/>
      <c r="V27" s="10"/>
      <c r="W27" s="10"/>
      <c r="X27" s="18">
        <f t="shared" ca="1" si="11"/>
        <v>0</v>
      </c>
      <c r="Y27" s="18">
        <f t="shared" ca="1" si="12"/>
        <v>0</v>
      </c>
      <c r="Z27" s="18">
        <f t="shared" ca="1" si="13"/>
        <v>0</v>
      </c>
      <c r="AA27" s="18">
        <f t="shared" ca="1" si="14"/>
        <v>0</v>
      </c>
      <c r="AB27" s="18">
        <f t="shared" ca="1" si="15"/>
        <v>0</v>
      </c>
      <c r="AC27" s="18">
        <f t="shared" ca="1" si="16"/>
        <v>0</v>
      </c>
      <c r="AD27" s="18">
        <f t="shared" ca="1" si="17"/>
        <v>0</v>
      </c>
    </row>
    <row r="28" spans="1:30" ht="75">
      <c r="A28" s="38" t="s">
        <v>113</v>
      </c>
      <c r="B28" s="8" t="s">
        <v>134</v>
      </c>
      <c r="C28" s="16"/>
      <c r="D28" s="17"/>
      <c r="E28" s="2"/>
      <c r="F28" s="2"/>
      <c r="G28" s="2"/>
      <c r="H28" s="2"/>
      <c r="I28" s="2"/>
      <c r="J28" s="17"/>
      <c r="K28" s="1">
        <f t="shared" si="2"/>
        <v>0</v>
      </c>
      <c r="L28" s="8" t="s">
        <v>181</v>
      </c>
      <c r="M28" s="3"/>
      <c r="N28" s="10"/>
      <c r="O28" s="5" t="s">
        <v>180</v>
      </c>
      <c r="P28" s="10"/>
      <c r="Q28" s="10"/>
      <c r="R28" s="10"/>
      <c r="S28" s="10"/>
      <c r="U28" s="10"/>
      <c r="V28" s="10"/>
      <c r="W28" s="10"/>
      <c r="X28" s="18">
        <f t="shared" ca="1" si="11"/>
        <v>0</v>
      </c>
      <c r="Y28" s="18">
        <f t="shared" ca="1" si="12"/>
        <v>0</v>
      </c>
      <c r="Z28" s="18">
        <f t="shared" ca="1" si="13"/>
        <v>0</v>
      </c>
      <c r="AA28" s="18">
        <f t="shared" ca="1" si="14"/>
        <v>0</v>
      </c>
      <c r="AB28" s="18">
        <f t="shared" ca="1" si="15"/>
        <v>0</v>
      </c>
      <c r="AC28" s="18">
        <f t="shared" ca="1" si="16"/>
        <v>0</v>
      </c>
      <c r="AD28" s="18">
        <f t="shared" ca="1" si="17"/>
        <v>0</v>
      </c>
    </row>
    <row r="29" spans="1:30" ht="75">
      <c r="A29" s="38" t="s">
        <v>113</v>
      </c>
      <c r="B29" s="8" t="s">
        <v>135</v>
      </c>
      <c r="C29" s="16"/>
      <c r="D29" s="17"/>
      <c r="E29" s="2"/>
      <c r="F29" s="2"/>
      <c r="G29" s="2"/>
      <c r="H29" s="2"/>
      <c r="I29" s="2"/>
      <c r="J29" s="17"/>
      <c r="K29" s="1">
        <f t="shared" si="2"/>
        <v>0</v>
      </c>
      <c r="L29" s="8" t="s">
        <v>181</v>
      </c>
      <c r="M29" s="3"/>
      <c r="N29" s="10"/>
      <c r="O29" s="5" t="s">
        <v>180</v>
      </c>
      <c r="P29" s="10"/>
      <c r="Q29" s="10"/>
      <c r="R29" s="10"/>
      <c r="S29" s="10"/>
      <c r="U29" s="10"/>
      <c r="V29" s="10"/>
      <c r="W29" s="10"/>
      <c r="X29" s="18">
        <f t="shared" ca="1" si="11"/>
        <v>0</v>
      </c>
      <c r="Y29" s="18">
        <f t="shared" ca="1" si="12"/>
        <v>0</v>
      </c>
      <c r="Z29" s="18">
        <f t="shared" ca="1" si="13"/>
        <v>0</v>
      </c>
      <c r="AA29" s="18">
        <f t="shared" ca="1" si="14"/>
        <v>0</v>
      </c>
      <c r="AB29" s="18">
        <f t="shared" ca="1" si="15"/>
        <v>0</v>
      </c>
      <c r="AC29" s="18">
        <f t="shared" ca="1" si="16"/>
        <v>0</v>
      </c>
      <c r="AD29" s="18">
        <f t="shared" ca="1" si="17"/>
        <v>0</v>
      </c>
    </row>
    <row r="30" spans="1:30" ht="75">
      <c r="A30" s="38" t="s">
        <v>113</v>
      </c>
      <c r="B30" s="8" t="s">
        <v>136</v>
      </c>
      <c r="C30" s="16"/>
      <c r="D30" s="17"/>
      <c r="E30" s="2"/>
      <c r="F30" s="2"/>
      <c r="G30" s="2"/>
      <c r="H30" s="2"/>
      <c r="I30" s="2"/>
      <c r="J30" s="17"/>
      <c r="K30" s="1">
        <f t="shared" si="2"/>
        <v>0</v>
      </c>
      <c r="L30" s="8" t="s">
        <v>181</v>
      </c>
      <c r="M30" s="3"/>
      <c r="N30" s="10"/>
      <c r="O30" s="5" t="s">
        <v>180</v>
      </c>
      <c r="P30" s="10"/>
      <c r="Q30" s="10"/>
      <c r="R30" s="10"/>
      <c r="S30" s="10"/>
      <c r="U30" s="10"/>
      <c r="V30" s="10"/>
      <c r="W30" s="10"/>
      <c r="X30" s="18">
        <f t="shared" ca="1" si="11"/>
        <v>0</v>
      </c>
      <c r="Y30" s="18">
        <f t="shared" ca="1" si="12"/>
        <v>0</v>
      </c>
      <c r="Z30" s="18">
        <f t="shared" ca="1" si="13"/>
        <v>0</v>
      </c>
      <c r="AA30" s="18">
        <f t="shared" ca="1" si="14"/>
        <v>0</v>
      </c>
      <c r="AB30" s="18">
        <f t="shared" ca="1" si="15"/>
        <v>0</v>
      </c>
      <c r="AC30" s="18">
        <f t="shared" ca="1" si="16"/>
        <v>0</v>
      </c>
      <c r="AD30" s="18">
        <f t="shared" ca="1" si="17"/>
        <v>0</v>
      </c>
    </row>
    <row r="31" spans="1:30" ht="75">
      <c r="A31" s="38" t="s">
        <v>113</v>
      </c>
      <c r="B31" s="8" t="s">
        <v>137</v>
      </c>
      <c r="C31" s="16"/>
      <c r="D31" s="17"/>
      <c r="E31" s="2"/>
      <c r="F31" s="2"/>
      <c r="G31" s="2"/>
      <c r="H31" s="2"/>
      <c r="I31" s="2"/>
      <c r="J31" s="17"/>
      <c r="K31" s="1">
        <f t="shared" si="2"/>
        <v>0</v>
      </c>
      <c r="L31" s="8" t="s">
        <v>181</v>
      </c>
      <c r="M31" s="3"/>
      <c r="N31" s="10"/>
      <c r="O31" s="5" t="s">
        <v>181</v>
      </c>
      <c r="P31" s="10"/>
      <c r="Q31" s="10"/>
      <c r="R31" s="10"/>
      <c r="S31" s="10"/>
      <c r="U31" s="10"/>
      <c r="V31" s="10"/>
      <c r="W31" s="10"/>
      <c r="X31" s="18">
        <f t="shared" ca="1" si="11"/>
        <v>0</v>
      </c>
      <c r="Y31" s="18">
        <f t="shared" ca="1" si="12"/>
        <v>0</v>
      </c>
      <c r="Z31" s="18">
        <f t="shared" ca="1" si="13"/>
        <v>0</v>
      </c>
      <c r="AA31" s="18">
        <f t="shared" ca="1" si="14"/>
        <v>0</v>
      </c>
      <c r="AB31" s="18">
        <f t="shared" ca="1" si="15"/>
        <v>0</v>
      </c>
      <c r="AC31" s="18">
        <f t="shared" ca="1" si="16"/>
        <v>0</v>
      </c>
      <c r="AD31" s="18">
        <f t="shared" ca="1" si="17"/>
        <v>0</v>
      </c>
    </row>
    <row r="32" spans="1:30" ht="75">
      <c r="A32" s="38" t="s">
        <v>113</v>
      </c>
      <c r="B32" s="8" t="s">
        <v>138</v>
      </c>
      <c r="C32" s="16"/>
      <c r="D32" s="17"/>
      <c r="E32" s="2"/>
      <c r="F32" s="2"/>
      <c r="G32" s="2"/>
      <c r="H32" s="2"/>
      <c r="I32" s="2"/>
      <c r="J32" s="17"/>
      <c r="K32" s="1">
        <f t="shared" si="2"/>
        <v>0</v>
      </c>
      <c r="L32" s="8" t="s">
        <v>181</v>
      </c>
      <c r="M32" s="3"/>
      <c r="N32" s="10"/>
      <c r="O32" s="5" t="s">
        <v>181</v>
      </c>
      <c r="P32" s="10"/>
      <c r="Q32" s="10"/>
      <c r="R32" s="10"/>
      <c r="S32" s="10"/>
      <c r="U32" s="10"/>
      <c r="V32" s="10"/>
      <c r="W32" s="10"/>
      <c r="X32" s="18">
        <f t="shared" ca="1" si="11"/>
        <v>0</v>
      </c>
      <c r="Y32" s="18">
        <f t="shared" ca="1" si="12"/>
        <v>0</v>
      </c>
      <c r="Z32" s="18">
        <f t="shared" ca="1" si="13"/>
        <v>0</v>
      </c>
      <c r="AA32" s="18">
        <f t="shared" ca="1" si="14"/>
        <v>0</v>
      </c>
      <c r="AB32" s="18">
        <f t="shared" ca="1" si="15"/>
        <v>0</v>
      </c>
      <c r="AC32" s="18">
        <f t="shared" ca="1" si="16"/>
        <v>0</v>
      </c>
      <c r="AD32" s="18">
        <f t="shared" ca="1" si="17"/>
        <v>0</v>
      </c>
    </row>
    <row r="33" spans="1:30" ht="90">
      <c r="A33" s="38" t="s">
        <v>113</v>
      </c>
      <c r="B33" s="8" t="s">
        <v>139</v>
      </c>
      <c r="C33" s="16"/>
      <c r="D33" s="17"/>
      <c r="E33" s="2">
        <f>0.5+1+1+0.5</f>
        <v>3</v>
      </c>
      <c r="F33" s="2"/>
      <c r="G33" s="2"/>
      <c r="H33" s="2"/>
      <c r="I33" s="2"/>
      <c r="J33" s="17"/>
      <c r="K33" s="1">
        <f t="shared" si="2"/>
        <v>3</v>
      </c>
      <c r="L33" s="8" t="s">
        <v>184</v>
      </c>
      <c r="M33" s="3"/>
      <c r="N33" s="10"/>
      <c r="O33" s="5" t="s">
        <v>181</v>
      </c>
      <c r="P33" s="10"/>
      <c r="Q33" s="10"/>
      <c r="R33" s="10"/>
      <c r="S33" s="10"/>
      <c r="U33" s="10"/>
      <c r="V33" s="10"/>
      <c r="W33" s="10"/>
      <c r="X33" s="18">
        <f t="shared" ca="1" si="11"/>
        <v>0</v>
      </c>
      <c r="Y33" s="18">
        <f t="shared" ca="1" si="12"/>
        <v>4</v>
      </c>
      <c r="Z33" s="18">
        <f t="shared" ca="1" si="13"/>
        <v>0</v>
      </c>
      <c r="AA33" s="18">
        <f t="shared" ca="1" si="14"/>
        <v>0</v>
      </c>
      <c r="AB33" s="18">
        <f t="shared" ca="1" si="15"/>
        <v>0</v>
      </c>
      <c r="AC33" s="18">
        <f t="shared" ca="1" si="16"/>
        <v>0</v>
      </c>
      <c r="AD33" s="18">
        <f t="shared" ca="1" si="17"/>
        <v>0</v>
      </c>
    </row>
    <row r="34" spans="1:30" ht="75">
      <c r="A34" s="38" t="s">
        <v>113</v>
      </c>
      <c r="B34" s="8" t="s">
        <v>140</v>
      </c>
      <c r="C34" s="16"/>
      <c r="D34" s="17"/>
      <c r="E34" s="2"/>
      <c r="F34" s="2"/>
      <c r="G34" s="2"/>
      <c r="H34" s="2"/>
      <c r="I34" s="2"/>
      <c r="J34" s="17"/>
      <c r="K34" s="1">
        <f t="shared" si="2"/>
        <v>0</v>
      </c>
      <c r="L34" s="8" t="s">
        <v>181</v>
      </c>
      <c r="M34" s="3"/>
      <c r="N34" s="10"/>
      <c r="O34" s="5" t="s">
        <v>180</v>
      </c>
      <c r="P34" s="10"/>
      <c r="Q34" s="10"/>
      <c r="R34" s="10"/>
      <c r="S34" s="10"/>
      <c r="U34" s="10"/>
      <c r="V34" s="10"/>
      <c r="W34" s="10"/>
      <c r="X34" s="18">
        <f t="shared" ca="1" si="11"/>
        <v>0</v>
      </c>
      <c r="Y34" s="18">
        <f t="shared" ca="1" si="12"/>
        <v>0</v>
      </c>
      <c r="Z34" s="18">
        <f t="shared" ca="1" si="13"/>
        <v>0</v>
      </c>
      <c r="AA34" s="18">
        <f t="shared" ca="1" si="14"/>
        <v>0</v>
      </c>
      <c r="AB34" s="18">
        <f t="shared" ca="1" si="15"/>
        <v>0</v>
      </c>
      <c r="AC34" s="18">
        <f t="shared" ca="1" si="16"/>
        <v>0</v>
      </c>
      <c r="AD34" s="18">
        <f t="shared" ca="1" si="17"/>
        <v>0</v>
      </c>
    </row>
    <row r="35" spans="1:30" ht="75">
      <c r="A35" s="38" t="s">
        <v>113</v>
      </c>
      <c r="B35" s="8" t="s">
        <v>178</v>
      </c>
      <c r="C35" s="16"/>
      <c r="D35" s="17"/>
      <c r="E35" s="2"/>
      <c r="F35" s="2"/>
      <c r="G35" s="2"/>
      <c r="H35" s="2"/>
      <c r="I35" s="2"/>
      <c r="J35" s="17"/>
      <c r="K35" s="1">
        <f t="shared" si="2"/>
        <v>0</v>
      </c>
      <c r="L35" s="8" t="s">
        <v>181</v>
      </c>
      <c r="M35" s="3"/>
      <c r="N35" s="10"/>
      <c r="O35" s="5" t="s">
        <v>180</v>
      </c>
      <c r="P35" s="10"/>
      <c r="Q35" s="10"/>
      <c r="R35" s="10"/>
      <c r="S35" s="10"/>
      <c r="U35" s="10"/>
      <c r="V35" s="10"/>
      <c r="W35" s="10"/>
      <c r="X35" s="18">
        <f t="shared" ca="1" si="11"/>
        <v>0</v>
      </c>
      <c r="Y35" s="18">
        <f t="shared" ca="1" si="12"/>
        <v>0</v>
      </c>
      <c r="Z35" s="18">
        <f t="shared" ca="1" si="13"/>
        <v>0</v>
      </c>
      <c r="AA35" s="18">
        <f t="shared" ca="1" si="14"/>
        <v>0</v>
      </c>
      <c r="AB35" s="18">
        <f t="shared" ca="1" si="15"/>
        <v>0</v>
      </c>
      <c r="AC35" s="18">
        <f t="shared" ca="1" si="16"/>
        <v>0</v>
      </c>
      <c r="AD35" s="18">
        <f t="shared" ca="1" si="17"/>
        <v>0</v>
      </c>
    </row>
    <row r="36" spans="1:30" ht="75">
      <c r="A36" s="38" t="s">
        <v>115</v>
      </c>
      <c r="B36" s="8" t="s">
        <v>117</v>
      </c>
      <c r="C36" s="16"/>
      <c r="D36" s="17"/>
      <c r="E36" s="2"/>
      <c r="F36" s="2"/>
      <c r="G36" s="2"/>
      <c r="H36" s="2"/>
      <c r="I36" s="2"/>
      <c r="J36" s="17"/>
      <c r="K36" s="1">
        <f t="shared" si="2"/>
        <v>0</v>
      </c>
      <c r="L36" s="8" t="s">
        <v>181</v>
      </c>
      <c r="M36" s="3"/>
      <c r="N36" s="10"/>
      <c r="O36" s="5" t="s">
        <v>180</v>
      </c>
      <c r="P36" s="10"/>
      <c r="Q36" s="10"/>
      <c r="R36" s="10"/>
      <c r="S36" s="10"/>
      <c r="U36" s="10"/>
      <c r="V36" s="10"/>
      <c r="W36" s="10"/>
      <c r="X36" s="18">
        <f t="shared" ca="1" si="11"/>
        <v>0</v>
      </c>
      <c r="Y36" s="18">
        <f t="shared" ca="1" si="12"/>
        <v>0</v>
      </c>
      <c r="Z36" s="18">
        <f t="shared" ca="1" si="13"/>
        <v>0</v>
      </c>
      <c r="AA36" s="18">
        <f t="shared" ca="1" si="14"/>
        <v>0</v>
      </c>
      <c r="AB36" s="18">
        <f t="shared" ca="1" si="15"/>
        <v>0</v>
      </c>
      <c r="AC36" s="18">
        <f t="shared" ca="1" si="16"/>
        <v>0</v>
      </c>
      <c r="AD36" s="18">
        <f t="shared" ca="1" si="17"/>
        <v>0</v>
      </c>
    </row>
    <row r="37" spans="1:30" ht="75">
      <c r="A37" s="43" t="s">
        <v>115</v>
      </c>
      <c r="B37" s="8" t="s">
        <v>118</v>
      </c>
      <c r="C37" s="16"/>
      <c r="D37" s="17"/>
      <c r="E37" s="2"/>
      <c r="F37" s="2"/>
      <c r="G37" s="2"/>
      <c r="H37" s="2"/>
      <c r="I37" s="2"/>
      <c r="J37" s="17"/>
      <c r="K37" s="1">
        <f t="shared" si="2"/>
        <v>0</v>
      </c>
      <c r="L37" s="8" t="s">
        <v>181</v>
      </c>
      <c r="M37" s="3"/>
      <c r="N37" s="10"/>
      <c r="O37" s="5" t="s">
        <v>180</v>
      </c>
      <c r="P37" s="10"/>
      <c r="Q37" s="10"/>
      <c r="R37" s="10"/>
      <c r="S37" s="10"/>
      <c r="U37" s="10"/>
      <c r="V37" s="10"/>
      <c r="W37" s="10"/>
      <c r="X37" s="18">
        <f t="shared" ca="1" si="11"/>
        <v>0</v>
      </c>
      <c r="Y37" s="18">
        <f t="shared" ca="1" si="12"/>
        <v>0</v>
      </c>
      <c r="Z37" s="18">
        <f t="shared" ca="1" si="13"/>
        <v>0</v>
      </c>
      <c r="AA37" s="18">
        <f t="shared" ca="1" si="14"/>
        <v>0</v>
      </c>
      <c r="AB37" s="18">
        <f t="shared" ca="1" si="15"/>
        <v>0</v>
      </c>
      <c r="AC37" s="18">
        <f t="shared" ca="1" si="16"/>
        <v>0</v>
      </c>
      <c r="AD37" s="18">
        <f t="shared" ca="1" si="17"/>
        <v>0</v>
      </c>
    </row>
    <row r="38" spans="1:30" ht="75">
      <c r="A38" s="38" t="s">
        <v>115</v>
      </c>
      <c r="B38" s="8" t="s">
        <v>119</v>
      </c>
      <c r="C38" s="16"/>
      <c r="D38" s="17"/>
      <c r="E38" s="2"/>
      <c r="F38" s="2"/>
      <c r="G38" s="2"/>
      <c r="H38" s="2"/>
      <c r="I38" s="2"/>
      <c r="J38" s="17"/>
      <c r="K38" s="1">
        <f t="shared" si="2"/>
        <v>0</v>
      </c>
      <c r="L38" s="8" t="s">
        <v>181</v>
      </c>
      <c r="M38" s="3"/>
      <c r="N38" s="10"/>
      <c r="O38" s="5" t="s">
        <v>180</v>
      </c>
      <c r="P38" s="10"/>
      <c r="Q38" s="10"/>
      <c r="R38" s="10"/>
      <c r="S38" s="10"/>
      <c r="U38" s="10"/>
      <c r="V38" s="10"/>
      <c r="W38" s="10"/>
      <c r="X38" s="18">
        <f t="shared" ca="1" si="11"/>
        <v>0</v>
      </c>
      <c r="Y38" s="18">
        <f t="shared" ca="1" si="12"/>
        <v>0</v>
      </c>
      <c r="Z38" s="18">
        <f t="shared" ca="1" si="13"/>
        <v>0</v>
      </c>
      <c r="AA38" s="18">
        <f t="shared" ca="1" si="14"/>
        <v>0</v>
      </c>
      <c r="AB38" s="18">
        <f t="shared" ca="1" si="15"/>
        <v>0</v>
      </c>
      <c r="AC38" s="18">
        <f t="shared" ca="1" si="16"/>
        <v>0</v>
      </c>
      <c r="AD38" s="18">
        <f t="shared" ca="1" si="17"/>
        <v>0</v>
      </c>
    </row>
    <row r="39" spans="1:30" ht="75">
      <c r="A39" s="38" t="s">
        <v>115</v>
      </c>
      <c r="B39" s="8" t="s">
        <v>120</v>
      </c>
      <c r="C39" s="16"/>
      <c r="D39" s="17"/>
      <c r="E39" s="2"/>
      <c r="F39" s="2"/>
      <c r="G39" s="2"/>
      <c r="H39" s="2"/>
      <c r="I39" s="2"/>
      <c r="J39" s="17"/>
      <c r="K39" s="1">
        <f t="shared" si="2"/>
        <v>0</v>
      </c>
      <c r="L39" s="8" t="s">
        <v>181</v>
      </c>
      <c r="M39" s="3"/>
      <c r="N39" s="10"/>
      <c r="O39" s="5" t="s">
        <v>180</v>
      </c>
      <c r="P39" s="10"/>
      <c r="Q39" s="10"/>
      <c r="R39" s="10"/>
      <c r="S39" s="10"/>
      <c r="U39" s="10"/>
      <c r="V39" s="10"/>
      <c r="W39" s="10"/>
      <c r="X39" s="18">
        <f t="shared" ca="1" si="11"/>
        <v>0</v>
      </c>
      <c r="Y39" s="18">
        <f t="shared" ca="1" si="12"/>
        <v>0</v>
      </c>
      <c r="Z39" s="18">
        <f t="shared" ca="1" si="13"/>
        <v>0</v>
      </c>
      <c r="AA39" s="18">
        <f t="shared" ca="1" si="14"/>
        <v>0</v>
      </c>
      <c r="AB39" s="18">
        <f t="shared" ca="1" si="15"/>
        <v>0</v>
      </c>
      <c r="AC39" s="18">
        <f t="shared" ca="1" si="16"/>
        <v>0</v>
      </c>
      <c r="AD39" s="18">
        <f t="shared" ca="1" si="17"/>
        <v>0</v>
      </c>
    </row>
    <row r="40" spans="1:30" ht="75">
      <c r="A40" s="38" t="s">
        <v>115</v>
      </c>
      <c r="B40" s="8" t="s">
        <v>121</v>
      </c>
      <c r="C40" s="16"/>
      <c r="D40" s="17"/>
      <c r="E40" s="2"/>
      <c r="F40" s="2"/>
      <c r="G40" s="2"/>
      <c r="H40" s="2"/>
      <c r="I40" s="2"/>
      <c r="J40" s="17"/>
      <c r="K40" s="1">
        <f t="shared" si="2"/>
        <v>0</v>
      </c>
      <c r="L40" s="8" t="s">
        <v>181</v>
      </c>
      <c r="M40" s="3"/>
      <c r="N40" s="10"/>
      <c r="O40" s="5" t="s">
        <v>180</v>
      </c>
      <c r="P40" s="10"/>
      <c r="Q40" s="10"/>
      <c r="R40" s="10"/>
      <c r="S40" s="10"/>
      <c r="U40" s="10"/>
      <c r="V40" s="10"/>
      <c r="W40" s="10"/>
      <c r="X40" s="18">
        <f t="shared" ca="1" si="11"/>
        <v>0</v>
      </c>
      <c r="Y40" s="18">
        <f t="shared" ca="1" si="12"/>
        <v>0</v>
      </c>
      <c r="Z40" s="18">
        <f t="shared" ca="1" si="13"/>
        <v>0</v>
      </c>
      <c r="AA40" s="18">
        <f t="shared" ca="1" si="14"/>
        <v>0</v>
      </c>
      <c r="AB40" s="18">
        <f t="shared" ca="1" si="15"/>
        <v>0</v>
      </c>
      <c r="AC40" s="18">
        <f t="shared" ca="1" si="16"/>
        <v>0</v>
      </c>
      <c r="AD40" s="18">
        <f t="shared" ca="1" si="17"/>
        <v>0</v>
      </c>
    </row>
    <row r="41" spans="1:30" ht="75">
      <c r="A41" s="38" t="s">
        <v>115</v>
      </c>
      <c r="B41" s="8" t="s">
        <v>122</v>
      </c>
      <c r="C41" s="16"/>
      <c r="D41" s="17"/>
      <c r="E41" s="2"/>
      <c r="F41" s="2"/>
      <c r="G41" s="2"/>
      <c r="H41" s="2"/>
      <c r="I41" s="2"/>
      <c r="J41" s="17"/>
      <c r="K41" s="1">
        <f t="shared" si="2"/>
        <v>0</v>
      </c>
      <c r="L41" s="8" t="s">
        <v>181</v>
      </c>
      <c r="M41" s="3"/>
      <c r="N41" s="10"/>
      <c r="O41" s="5" t="s">
        <v>180</v>
      </c>
      <c r="P41" s="10"/>
      <c r="Q41" s="10"/>
      <c r="R41" s="10"/>
      <c r="S41" s="10"/>
      <c r="U41" s="10"/>
      <c r="V41" s="10"/>
      <c r="W41" s="10"/>
      <c r="X41" s="18">
        <f t="shared" ca="1" si="11"/>
        <v>0</v>
      </c>
      <c r="Y41" s="18">
        <f t="shared" ca="1" si="12"/>
        <v>0</v>
      </c>
      <c r="Z41" s="18">
        <f t="shared" ca="1" si="13"/>
        <v>0</v>
      </c>
      <c r="AA41" s="18">
        <f t="shared" ca="1" si="14"/>
        <v>0</v>
      </c>
      <c r="AB41" s="18">
        <f t="shared" ca="1" si="15"/>
        <v>0</v>
      </c>
      <c r="AC41" s="18">
        <f t="shared" ca="1" si="16"/>
        <v>0</v>
      </c>
      <c r="AD41" s="18">
        <f t="shared" ca="1" si="17"/>
        <v>0</v>
      </c>
    </row>
    <row r="42" spans="1:30" ht="75">
      <c r="A42" s="38" t="s">
        <v>115</v>
      </c>
      <c r="B42" s="8" t="s">
        <v>123</v>
      </c>
      <c r="C42" s="16"/>
      <c r="D42" s="17"/>
      <c r="E42" s="2"/>
      <c r="F42" s="2"/>
      <c r="G42" s="2"/>
      <c r="H42" s="2"/>
      <c r="I42" s="2"/>
      <c r="J42" s="17"/>
      <c r="K42" s="1">
        <f t="shared" si="2"/>
        <v>0</v>
      </c>
      <c r="L42" s="8" t="s">
        <v>181</v>
      </c>
      <c r="M42" s="3"/>
      <c r="N42" s="10"/>
      <c r="O42" s="5" t="s">
        <v>180</v>
      </c>
      <c r="P42" s="10"/>
      <c r="Q42" s="10"/>
      <c r="R42" s="10"/>
      <c r="S42" s="10"/>
      <c r="U42" s="10"/>
      <c r="V42" s="10"/>
      <c r="W42" s="10"/>
      <c r="X42" s="18">
        <f t="shared" ca="1" si="11"/>
        <v>0</v>
      </c>
      <c r="Y42" s="18">
        <f t="shared" ca="1" si="12"/>
        <v>0</v>
      </c>
      <c r="Z42" s="18">
        <f t="shared" ca="1" si="13"/>
        <v>0</v>
      </c>
      <c r="AA42" s="18">
        <f t="shared" ca="1" si="14"/>
        <v>0</v>
      </c>
      <c r="AB42" s="18">
        <f t="shared" ca="1" si="15"/>
        <v>0</v>
      </c>
      <c r="AC42" s="18">
        <f t="shared" ca="1" si="16"/>
        <v>0</v>
      </c>
      <c r="AD42" s="18">
        <f t="shared" ca="1" si="17"/>
        <v>0</v>
      </c>
    </row>
    <row r="43" spans="1:30" ht="75">
      <c r="A43" s="38" t="s">
        <v>115</v>
      </c>
      <c r="B43" s="8" t="s">
        <v>124</v>
      </c>
      <c r="C43" s="16"/>
      <c r="D43" s="17"/>
      <c r="E43" s="2"/>
      <c r="F43" s="2"/>
      <c r="G43" s="2"/>
      <c r="H43" s="2"/>
      <c r="I43" s="2"/>
      <c r="J43" s="17"/>
      <c r="K43" s="1">
        <f t="shared" si="2"/>
        <v>0</v>
      </c>
      <c r="L43" s="8" t="s">
        <v>181</v>
      </c>
      <c r="M43" s="3"/>
      <c r="N43" s="10"/>
      <c r="O43" s="5" t="s">
        <v>180</v>
      </c>
      <c r="P43" s="10"/>
      <c r="Q43" s="10"/>
      <c r="R43" s="10"/>
      <c r="S43" s="10"/>
      <c r="U43" s="10"/>
      <c r="V43" s="10"/>
      <c r="W43" s="10"/>
      <c r="X43" s="18">
        <f t="shared" ca="1" si="11"/>
        <v>0</v>
      </c>
      <c r="Y43" s="18">
        <f t="shared" ca="1" si="12"/>
        <v>0</v>
      </c>
      <c r="Z43" s="18">
        <f t="shared" ca="1" si="13"/>
        <v>0</v>
      </c>
      <c r="AA43" s="18">
        <f t="shared" ca="1" si="14"/>
        <v>0</v>
      </c>
      <c r="AB43" s="18">
        <f t="shared" ca="1" si="15"/>
        <v>0</v>
      </c>
      <c r="AC43" s="18">
        <f t="shared" ca="1" si="16"/>
        <v>0</v>
      </c>
      <c r="AD43" s="18">
        <f t="shared" ca="1" si="17"/>
        <v>0</v>
      </c>
    </row>
    <row r="44" spans="1:30" ht="75">
      <c r="A44" s="38" t="s">
        <v>115</v>
      </c>
      <c r="B44" s="8" t="s">
        <v>125</v>
      </c>
      <c r="C44" s="16"/>
      <c r="D44" s="17"/>
      <c r="E44" s="2"/>
      <c r="F44" s="2"/>
      <c r="G44" s="2"/>
      <c r="H44" s="2"/>
      <c r="I44" s="2"/>
      <c r="J44" s="17"/>
      <c r="K44" s="1">
        <f t="shared" si="2"/>
        <v>0</v>
      </c>
      <c r="L44" s="8" t="s">
        <v>181</v>
      </c>
      <c r="M44" s="3"/>
      <c r="N44" s="10"/>
      <c r="O44" s="5" t="s">
        <v>180</v>
      </c>
      <c r="P44" s="10"/>
      <c r="Q44" s="10"/>
      <c r="R44" s="10"/>
      <c r="S44" s="10"/>
      <c r="U44" s="10"/>
      <c r="V44" s="10"/>
      <c r="W44" s="10"/>
      <c r="X44" s="18">
        <f t="shared" ca="1" si="11"/>
        <v>0</v>
      </c>
      <c r="Y44" s="18">
        <f t="shared" ca="1" si="12"/>
        <v>0</v>
      </c>
      <c r="Z44" s="18">
        <f t="shared" ca="1" si="13"/>
        <v>0</v>
      </c>
      <c r="AA44" s="18">
        <f t="shared" ca="1" si="14"/>
        <v>0</v>
      </c>
      <c r="AB44" s="18">
        <f t="shared" ca="1" si="15"/>
        <v>0</v>
      </c>
      <c r="AC44" s="18">
        <f t="shared" ca="1" si="16"/>
        <v>0</v>
      </c>
      <c r="AD44" s="18">
        <f t="shared" ca="1" si="17"/>
        <v>0</v>
      </c>
    </row>
    <row r="45" spans="1:30" ht="75">
      <c r="A45" s="38" t="s">
        <v>115</v>
      </c>
      <c r="B45" s="8" t="s">
        <v>126</v>
      </c>
      <c r="C45" s="16"/>
      <c r="D45" s="17"/>
      <c r="E45" s="2"/>
      <c r="F45" s="2"/>
      <c r="G45" s="2"/>
      <c r="H45" s="2"/>
      <c r="I45" s="2"/>
      <c r="J45" s="17"/>
      <c r="K45" s="1">
        <f t="shared" si="2"/>
        <v>0</v>
      </c>
      <c r="L45" s="8" t="s">
        <v>181</v>
      </c>
      <c r="M45" s="3"/>
      <c r="N45" s="10"/>
      <c r="O45" s="5" t="s">
        <v>180</v>
      </c>
      <c r="P45" s="10"/>
      <c r="Q45" s="10"/>
      <c r="R45" s="10"/>
      <c r="S45" s="10"/>
      <c r="U45" s="10"/>
      <c r="V45" s="10"/>
      <c r="W45" s="10"/>
      <c r="X45" s="18">
        <f t="shared" ca="1" si="11"/>
        <v>0</v>
      </c>
      <c r="Y45" s="18">
        <f t="shared" ca="1" si="12"/>
        <v>0</v>
      </c>
      <c r="Z45" s="18">
        <f t="shared" ca="1" si="13"/>
        <v>0</v>
      </c>
      <c r="AA45" s="18">
        <f t="shared" ca="1" si="14"/>
        <v>0</v>
      </c>
      <c r="AB45" s="18">
        <f t="shared" ca="1" si="15"/>
        <v>0</v>
      </c>
      <c r="AC45" s="18">
        <f t="shared" ca="1" si="16"/>
        <v>0</v>
      </c>
      <c r="AD45" s="18">
        <f t="shared" ca="1" si="17"/>
        <v>0</v>
      </c>
    </row>
    <row r="46" spans="1:30" ht="75">
      <c r="A46" s="38" t="s">
        <v>115</v>
      </c>
      <c r="B46" s="8" t="s">
        <v>127</v>
      </c>
      <c r="C46" s="16"/>
      <c r="D46" s="17"/>
      <c r="E46" s="2"/>
      <c r="F46" s="2"/>
      <c r="G46" s="2"/>
      <c r="H46" s="2"/>
      <c r="I46" s="2"/>
      <c r="J46" s="17"/>
      <c r="K46" s="1">
        <f t="shared" si="2"/>
        <v>0</v>
      </c>
      <c r="L46" s="8" t="s">
        <v>181</v>
      </c>
      <c r="M46" s="3"/>
      <c r="N46" s="10"/>
      <c r="O46" s="5" t="s">
        <v>180</v>
      </c>
      <c r="P46" s="10"/>
      <c r="Q46" s="10"/>
      <c r="R46" s="10"/>
      <c r="S46" s="10"/>
      <c r="U46" s="10"/>
      <c r="V46" s="10"/>
      <c r="W46" s="10"/>
      <c r="X46" s="18">
        <f t="shared" ca="1" si="11"/>
        <v>0</v>
      </c>
      <c r="Y46" s="18">
        <f t="shared" ca="1" si="12"/>
        <v>0</v>
      </c>
      <c r="Z46" s="18">
        <f t="shared" ca="1" si="13"/>
        <v>0</v>
      </c>
      <c r="AA46" s="18">
        <f t="shared" ca="1" si="14"/>
        <v>0</v>
      </c>
      <c r="AB46" s="18">
        <f t="shared" ca="1" si="15"/>
        <v>0</v>
      </c>
      <c r="AC46" s="18">
        <f t="shared" ca="1" si="16"/>
        <v>0</v>
      </c>
      <c r="AD46" s="18">
        <f t="shared" ca="1" si="17"/>
        <v>0</v>
      </c>
    </row>
    <row r="47" spans="1:30" ht="75">
      <c r="A47" s="43" t="s">
        <v>115</v>
      </c>
      <c r="B47" s="8" t="s">
        <v>128</v>
      </c>
      <c r="C47" s="16"/>
      <c r="D47" s="17"/>
      <c r="E47" s="2"/>
      <c r="F47" s="2"/>
      <c r="G47" s="2"/>
      <c r="H47" s="2"/>
      <c r="I47" s="2"/>
      <c r="J47" s="17"/>
      <c r="K47" s="1">
        <f t="shared" si="2"/>
        <v>0</v>
      </c>
      <c r="L47" s="8" t="s">
        <v>181</v>
      </c>
      <c r="M47" s="3"/>
      <c r="N47" s="10"/>
      <c r="O47" s="5" t="s">
        <v>180</v>
      </c>
      <c r="P47" s="10"/>
      <c r="Q47" s="10"/>
      <c r="R47" s="10"/>
      <c r="S47" s="10"/>
      <c r="U47" s="10"/>
      <c r="V47" s="10"/>
      <c r="W47" s="10"/>
      <c r="X47" s="18">
        <f t="shared" ca="1" si="11"/>
        <v>0</v>
      </c>
      <c r="Y47" s="18">
        <f t="shared" ca="1" si="12"/>
        <v>0</v>
      </c>
      <c r="Z47" s="18">
        <f t="shared" ca="1" si="13"/>
        <v>0</v>
      </c>
      <c r="AA47" s="18">
        <f t="shared" ca="1" si="14"/>
        <v>0</v>
      </c>
      <c r="AB47" s="18">
        <f t="shared" ca="1" si="15"/>
        <v>0</v>
      </c>
      <c r="AC47" s="18">
        <f t="shared" ca="1" si="16"/>
        <v>0</v>
      </c>
      <c r="AD47" s="18">
        <f t="shared" ca="1" si="17"/>
        <v>0</v>
      </c>
    </row>
    <row r="48" spans="1:30" ht="75">
      <c r="A48" s="38" t="s">
        <v>115</v>
      </c>
      <c r="B48" s="8" t="s">
        <v>129</v>
      </c>
      <c r="C48" s="16"/>
      <c r="D48" s="17"/>
      <c r="E48" s="2"/>
      <c r="F48" s="2"/>
      <c r="G48" s="2"/>
      <c r="H48" s="2"/>
      <c r="I48" s="2"/>
      <c r="J48" s="17"/>
      <c r="K48" s="1">
        <f t="shared" si="2"/>
        <v>0</v>
      </c>
      <c r="L48" s="8" t="s">
        <v>181</v>
      </c>
      <c r="M48" s="3"/>
      <c r="N48" s="10"/>
      <c r="O48" s="5" t="s">
        <v>180</v>
      </c>
      <c r="P48" s="10"/>
      <c r="Q48" s="10"/>
      <c r="R48" s="10"/>
      <c r="S48" s="10"/>
      <c r="U48" s="10"/>
      <c r="V48" s="10"/>
      <c r="W48" s="10"/>
      <c r="X48" s="18">
        <f t="shared" ca="1" si="11"/>
        <v>0</v>
      </c>
      <c r="Y48" s="18">
        <f t="shared" ca="1" si="12"/>
        <v>0</v>
      </c>
      <c r="Z48" s="18">
        <f t="shared" ca="1" si="13"/>
        <v>0</v>
      </c>
      <c r="AA48" s="18">
        <f t="shared" ca="1" si="14"/>
        <v>0</v>
      </c>
      <c r="AB48" s="18">
        <f t="shared" ca="1" si="15"/>
        <v>0</v>
      </c>
      <c r="AC48" s="18">
        <f t="shared" ca="1" si="16"/>
        <v>0</v>
      </c>
      <c r="AD48" s="18">
        <f t="shared" ca="1" si="17"/>
        <v>0</v>
      </c>
    </row>
    <row r="49" spans="1:30" ht="75">
      <c r="A49" s="38" t="s">
        <v>115</v>
      </c>
      <c r="B49" s="8" t="s">
        <v>130</v>
      </c>
      <c r="C49" s="16"/>
      <c r="D49" s="17"/>
      <c r="E49" s="2"/>
      <c r="F49" s="2"/>
      <c r="G49" s="2"/>
      <c r="H49" s="2"/>
      <c r="I49" s="2"/>
      <c r="J49" s="17"/>
      <c r="K49" s="1">
        <f t="shared" si="2"/>
        <v>0</v>
      </c>
      <c r="L49" s="8" t="s">
        <v>181</v>
      </c>
      <c r="M49" s="3"/>
      <c r="N49" s="10"/>
      <c r="O49" s="5" t="s">
        <v>180</v>
      </c>
      <c r="P49" s="10"/>
      <c r="Q49" s="10"/>
      <c r="R49" s="10"/>
      <c r="S49" s="10"/>
      <c r="U49" s="10"/>
      <c r="V49" s="10"/>
      <c r="W49" s="10"/>
      <c r="X49" s="18">
        <f t="shared" ca="1" si="11"/>
        <v>0</v>
      </c>
      <c r="Y49" s="18">
        <f t="shared" ca="1" si="12"/>
        <v>0</v>
      </c>
      <c r="Z49" s="18">
        <f t="shared" ca="1" si="13"/>
        <v>0</v>
      </c>
      <c r="AA49" s="18">
        <f t="shared" ca="1" si="14"/>
        <v>0</v>
      </c>
      <c r="AB49" s="18">
        <f t="shared" ca="1" si="15"/>
        <v>0</v>
      </c>
      <c r="AC49" s="18">
        <f t="shared" ca="1" si="16"/>
        <v>0</v>
      </c>
      <c r="AD49" s="18">
        <f t="shared" ca="1" si="17"/>
        <v>0</v>
      </c>
    </row>
    <row r="50" spans="1:30" ht="75">
      <c r="A50" s="38" t="s">
        <v>115</v>
      </c>
      <c r="B50" s="8" t="s">
        <v>131</v>
      </c>
      <c r="C50" s="16"/>
      <c r="D50" s="17"/>
      <c r="E50" s="2"/>
      <c r="F50" s="2"/>
      <c r="G50" s="2"/>
      <c r="H50" s="2"/>
      <c r="I50" s="2"/>
      <c r="J50" s="17"/>
      <c r="K50" s="1">
        <f t="shared" si="2"/>
        <v>0</v>
      </c>
      <c r="L50" s="8" t="s">
        <v>181</v>
      </c>
      <c r="M50" s="3"/>
      <c r="N50" s="10"/>
      <c r="O50" s="5" t="s">
        <v>180</v>
      </c>
      <c r="P50" s="10"/>
      <c r="Q50" s="10"/>
      <c r="R50" s="10"/>
      <c r="S50" s="10"/>
      <c r="U50" s="10"/>
      <c r="V50" s="10"/>
      <c r="W50" s="10"/>
      <c r="X50" s="18">
        <f t="shared" ca="1" si="11"/>
        <v>0</v>
      </c>
      <c r="Y50" s="18">
        <f t="shared" ca="1" si="12"/>
        <v>0</v>
      </c>
      <c r="Z50" s="18">
        <f t="shared" ca="1" si="13"/>
        <v>0</v>
      </c>
      <c r="AA50" s="18">
        <f t="shared" ca="1" si="14"/>
        <v>0</v>
      </c>
      <c r="AB50" s="18">
        <f t="shared" ca="1" si="15"/>
        <v>0</v>
      </c>
      <c r="AC50" s="18">
        <f t="shared" ca="1" si="16"/>
        <v>0</v>
      </c>
      <c r="AD50" s="18">
        <f t="shared" ca="1" si="17"/>
        <v>0</v>
      </c>
    </row>
    <row r="51" spans="1:30" ht="75">
      <c r="A51" s="38" t="s">
        <v>115</v>
      </c>
      <c r="B51" s="8" t="s">
        <v>132</v>
      </c>
      <c r="C51" s="16"/>
      <c r="D51" s="17"/>
      <c r="E51" s="2"/>
      <c r="F51" s="2"/>
      <c r="G51" s="2"/>
      <c r="H51" s="2"/>
      <c r="I51" s="2"/>
      <c r="J51" s="17"/>
      <c r="K51" s="1">
        <f t="shared" si="2"/>
        <v>0</v>
      </c>
      <c r="L51" s="8" t="s">
        <v>181</v>
      </c>
      <c r="M51" s="3"/>
      <c r="N51" s="10"/>
      <c r="O51" s="5" t="s">
        <v>180</v>
      </c>
      <c r="P51" s="10"/>
      <c r="Q51" s="10"/>
      <c r="R51" s="10"/>
      <c r="S51" s="10"/>
      <c r="U51" s="10"/>
      <c r="V51" s="10"/>
      <c r="W51" s="10"/>
      <c r="X51" s="18">
        <f t="shared" ca="1" si="11"/>
        <v>0</v>
      </c>
      <c r="Y51" s="18">
        <f t="shared" ca="1" si="12"/>
        <v>0</v>
      </c>
      <c r="Z51" s="18">
        <f t="shared" ca="1" si="13"/>
        <v>0</v>
      </c>
      <c r="AA51" s="18">
        <f t="shared" ca="1" si="14"/>
        <v>0</v>
      </c>
      <c r="AB51" s="18">
        <f t="shared" ca="1" si="15"/>
        <v>0</v>
      </c>
      <c r="AC51" s="18">
        <f t="shared" ca="1" si="16"/>
        <v>0</v>
      </c>
      <c r="AD51" s="18">
        <f t="shared" ca="1" si="17"/>
        <v>0</v>
      </c>
    </row>
    <row r="52" spans="1:30" ht="75">
      <c r="A52" s="38" t="s">
        <v>115</v>
      </c>
      <c r="B52" s="8" t="s">
        <v>133</v>
      </c>
      <c r="C52" s="16"/>
      <c r="D52" s="17"/>
      <c r="E52" s="2"/>
      <c r="F52" s="2"/>
      <c r="G52" s="2"/>
      <c r="H52" s="2"/>
      <c r="I52" s="2"/>
      <c r="J52" s="17"/>
      <c r="K52" s="1">
        <f t="shared" si="2"/>
        <v>0</v>
      </c>
      <c r="L52" s="8" t="s">
        <v>181</v>
      </c>
      <c r="M52" s="3"/>
      <c r="N52" s="10"/>
      <c r="O52" s="5" t="s">
        <v>180</v>
      </c>
      <c r="P52" s="10"/>
      <c r="Q52" s="10"/>
      <c r="R52" s="10"/>
      <c r="S52" s="10"/>
      <c r="U52" s="10"/>
      <c r="V52" s="10"/>
      <c r="W52" s="10"/>
      <c r="X52" s="18">
        <f t="shared" ca="1" si="11"/>
        <v>0</v>
      </c>
      <c r="Y52" s="18">
        <f t="shared" ca="1" si="12"/>
        <v>0</v>
      </c>
      <c r="Z52" s="18">
        <f t="shared" ca="1" si="13"/>
        <v>0</v>
      </c>
      <c r="AA52" s="18">
        <f t="shared" ca="1" si="14"/>
        <v>0</v>
      </c>
      <c r="AB52" s="18">
        <f t="shared" ca="1" si="15"/>
        <v>0</v>
      </c>
      <c r="AC52" s="18">
        <f t="shared" ca="1" si="16"/>
        <v>0</v>
      </c>
      <c r="AD52" s="18">
        <f t="shared" ca="1" si="17"/>
        <v>0</v>
      </c>
    </row>
    <row r="53" spans="1:30" ht="75">
      <c r="A53" s="38" t="s">
        <v>115</v>
      </c>
      <c r="B53" s="8" t="s">
        <v>134</v>
      </c>
      <c r="C53" s="16"/>
      <c r="D53" s="17"/>
      <c r="E53" s="2"/>
      <c r="F53" s="2"/>
      <c r="G53" s="2"/>
      <c r="H53" s="2"/>
      <c r="I53" s="2"/>
      <c r="J53" s="17"/>
      <c r="K53" s="1">
        <f t="shared" si="2"/>
        <v>0</v>
      </c>
      <c r="L53" s="8" t="s">
        <v>181</v>
      </c>
      <c r="M53" s="3"/>
      <c r="N53" s="10"/>
      <c r="O53" s="5" t="s">
        <v>180</v>
      </c>
      <c r="P53" s="10"/>
      <c r="Q53" s="10"/>
      <c r="R53" s="10"/>
      <c r="S53" s="10"/>
      <c r="U53" s="10"/>
      <c r="V53" s="10"/>
      <c r="W53" s="10"/>
      <c r="X53" s="18">
        <f t="shared" ca="1" si="11"/>
        <v>0</v>
      </c>
      <c r="Y53" s="18">
        <f t="shared" ca="1" si="12"/>
        <v>0</v>
      </c>
      <c r="Z53" s="18">
        <f t="shared" ca="1" si="13"/>
        <v>0</v>
      </c>
      <c r="AA53" s="18">
        <f t="shared" ca="1" si="14"/>
        <v>0</v>
      </c>
      <c r="AB53" s="18">
        <f t="shared" ca="1" si="15"/>
        <v>0</v>
      </c>
      <c r="AC53" s="18">
        <f t="shared" ca="1" si="16"/>
        <v>0</v>
      </c>
      <c r="AD53" s="18">
        <f t="shared" ca="1" si="17"/>
        <v>0</v>
      </c>
    </row>
    <row r="54" spans="1:30" ht="75">
      <c r="A54" s="38" t="s">
        <v>115</v>
      </c>
      <c r="B54" s="8" t="s">
        <v>135</v>
      </c>
      <c r="C54" s="16"/>
      <c r="D54" s="17"/>
      <c r="E54" s="2"/>
      <c r="F54" s="2"/>
      <c r="G54" s="2"/>
      <c r="H54" s="2"/>
      <c r="I54" s="2"/>
      <c r="J54" s="17"/>
      <c r="K54" s="1">
        <f t="shared" si="2"/>
        <v>0</v>
      </c>
      <c r="L54" s="8" t="s">
        <v>181</v>
      </c>
      <c r="M54" s="3"/>
      <c r="N54" s="10"/>
      <c r="O54" s="5" t="s">
        <v>180</v>
      </c>
      <c r="P54" s="10"/>
      <c r="Q54" s="10"/>
      <c r="R54" s="10"/>
      <c r="S54" s="10"/>
      <c r="U54" s="10"/>
      <c r="V54" s="10"/>
      <c r="W54" s="10"/>
      <c r="X54" s="18">
        <f t="shared" ca="1" si="11"/>
        <v>0</v>
      </c>
      <c r="Y54" s="18">
        <f t="shared" ca="1" si="12"/>
        <v>0</v>
      </c>
      <c r="Z54" s="18">
        <f t="shared" ca="1" si="13"/>
        <v>0</v>
      </c>
      <c r="AA54" s="18">
        <f t="shared" ca="1" si="14"/>
        <v>0</v>
      </c>
      <c r="AB54" s="18">
        <f t="shared" ca="1" si="15"/>
        <v>0</v>
      </c>
      <c r="AC54" s="18">
        <f t="shared" ca="1" si="16"/>
        <v>0</v>
      </c>
      <c r="AD54" s="18">
        <f t="shared" ca="1" si="17"/>
        <v>0</v>
      </c>
    </row>
    <row r="55" spans="1:30" ht="75">
      <c r="A55" s="43" t="s">
        <v>115</v>
      </c>
      <c r="B55" s="8" t="s">
        <v>136</v>
      </c>
      <c r="C55" s="16"/>
      <c r="D55" s="17"/>
      <c r="E55" s="2"/>
      <c r="F55" s="2"/>
      <c r="G55" s="2"/>
      <c r="H55" s="2"/>
      <c r="I55" s="2"/>
      <c r="J55" s="17"/>
      <c r="K55" s="1">
        <f t="shared" si="2"/>
        <v>0</v>
      </c>
      <c r="L55" s="8" t="s">
        <v>181</v>
      </c>
      <c r="M55" s="3"/>
      <c r="N55" s="10"/>
      <c r="O55" s="5" t="s">
        <v>180</v>
      </c>
      <c r="P55" s="10"/>
      <c r="Q55" s="10"/>
      <c r="R55" s="10"/>
      <c r="S55" s="10"/>
      <c r="U55" s="10"/>
      <c r="V55" s="10"/>
      <c r="W55" s="10"/>
      <c r="X55" s="18">
        <f t="shared" ca="1" si="11"/>
        <v>0</v>
      </c>
      <c r="Y55" s="18">
        <f t="shared" ca="1" si="12"/>
        <v>0</v>
      </c>
      <c r="Z55" s="18">
        <f t="shared" ca="1" si="13"/>
        <v>0</v>
      </c>
      <c r="AA55" s="18">
        <f t="shared" ca="1" si="14"/>
        <v>0</v>
      </c>
      <c r="AB55" s="18">
        <f t="shared" ca="1" si="15"/>
        <v>0</v>
      </c>
      <c r="AC55" s="18">
        <f t="shared" ca="1" si="16"/>
        <v>0</v>
      </c>
      <c r="AD55" s="18">
        <f t="shared" ca="1" si="17"/>
        <v>0</v>
      </c>
    </row>
    <row r="56" spans="1:30" ht="75">
      <c r="A56" s="43" t="s">
        <v>115</v>
      </c>
      <c r="B56" s="8" t="s">
        <v>137</v>
      </c>
      <c r="C56" s="16"/>
      <c r="D56" s="17"/>
      <c r="E56" s="2"/>
      <c r="F56" s="2"/>
      <c r="G56" s="2"/>
      <c r="H56" s="2"/>
      <c r="I56" s="2"/>
      <c r="J56" s="17"/>
      <c r="K56" s="1">
        <f t="shared" si="2"/>
        <v>0</v>
      </c>
      <c r="L56" s="8" t="s">
        <v>181</v>
      </c>
      <c r="M56" s="3"/>
      <c r="N56" s="10"/>
      <c r="O56" s="5" t="s">
        <v>180</v>
      </c>
      <c r="P56" s="10"/>
      <c r="Q56" s="10"/>
      <c r="R56" s="10"/>
      <c r="S56" s="10"/>
      <c r="U56" s="10"/>
      <c r="V56" s="10"/>
      <c r="W56" s="10"/>
      <c r="X56" s="18">
        <f t="shared" ca="1" si="11"/>
        <v>0</v>
      </c>
      <c r="Y56" s="18">
        <f t="shared" ca="1" si="12"/>
        <v>0</v>
      </c>
      <c r="Z56" s="18">
        <f t="shared" ca="1" si="13"/>
        <v>0</v>
      </c>
      <c r="AA56" s="18">
        <f t="shared" ca="1" si="14"/>
        <v>0</v>
      </c>
      <c r="AB56" s="18">
        <f t="shared" ca="1" si="15"/>
        <v>0</v>
      </c>
      <c r="AC56" s="18">
        <f t="shared" ca="1" si="16"/>
        <v>0</v>
      </c>
      <c r="AD56" s="18">
        <f t="shared" ca="1" si="17"/>
        <v>0</v>
      </c>
    </row>
    <row r="57" spans="1:30" ht="75">
      <c r="A57" s="43" t="s">
        <v>115</v>
      </c>
      <c r="B57" s="8" t="s">
        <v>138</v>
      </c>
      <c r="C57" s="16"/>
      <c r="D57" s="17"/>
      <c r="E57" s="2"/>
      <c r="F57" s="2"/>
      <c r="G57" s="2"/>
      <c r="H57" s="2"/>
      <c r="I57" s="2"/>
      <c r="J57" s="17"/>
      <c r="K57" s="1">
        <f t="shared" si="2"/>
        <v>0</v>
      </c>
      <c r="L57" s="8" t="s">
        <v>181</v>
      </c>
      <c r="M57" s="3"/>
      <c r="N57" s="10"/>
      <c r="O57" s="5" t="s">
        <v>180</v>
      </c>
      <c r="P57" s="10"/>
      <c r="Q57" s="10"/>
      <c r="R57" s="10"/>
      <c r="S57" s="10"/>
      <c r="U57" s="10"/>
      <c r="V57" s="10"/>
      <c r="W57" s="10"/>
      <c r="X57" s="18">
        <f t="shared" ca="1" si="11"/>
        <v>0</v>
      </c>
      <c r="Y57" s="18">
        <f t="shared" ca="1" si="12"/>
        <v>0</v>
      </c>
      <c r="Z57" s="18">
        <f t="shared" ca="1" si="13"/>
        <v>0</v>
      </c>
      <c r="AA57" s="18">
        <f t="shared" ca="1" si="14"/>
        <v>0</v>
      </c>
      <c r="AB57" s="18">
        <f t="shared" ca="1" si="15"/>
        <v>0</v>
      </c>
      <c r="AC57" s="18">
        <f t="shared" ca="1" si="16"/>
        <v>0</v>
      </c>
      <c r="AD57" s="18">
        <f t="shared" ca="1" si="17"/>
        <v>0</v>
      </c>
    </row>
    <row r="58" spans="1:30" ht="75">
      <c r="A58" s="43" t="s">
        <v>115</v>
      </c>
      <c r="B58" s="8" t="s">
        <v>139</v>
      </c>
      <c r="C58" s="16"/>
      <c r="D58" s="17"/>
      <c r="E58" s="2"/>
      <c r="F58" s="2"/>
      <c r="G58" s="2"/>
      <c r="H58" s="2"/>
      <c r="I58" s="2"/>
      <c r="J58" s="17"/>
      <c r="K58" s="1">
        <f t="shared" si="2"/>
        <v>0</v>
      </c>
      <c r="L58" s="8" t="s">
        <v>181</v>
      </c>
      <c r="M58" s="3"/>
      <c r="N58" s="10"/>
      <c r="O58" s="5" t="s">
        <v>180</v>
      </c>
      <c r="P58" s="10"/>
      <c r="Q58" s="10"/>
      <c r="R58" s="10"/>
      <c r="S58" s="10"/>
      <c r="U58" s="10"/>
      <c r="V58" s="10"/>
      <c r="W58" s="10"/>
      <c r="X58" s="18">
        <f t="shared" ca="1" si="11"/>
        <v>0</v>
      </c>
      <c r="Y58" s="18">
        <f t="shared" ca="1" si="12"/>
        <v>0</v>
      </c>
      <c r="Z58" s="18">
        <f t="shared" ca="1" si="13"/>
        <v>0</v>
      </c>
      <c r="AA58" s="18">
        <f t="shared" ca="1" si="14"/>
        <v>0</v>
      </c>
      <c r="AB58" s="18">
        <f t="shared" ca="1" si="15"/>
        <v>0</v>
      </c>
      <c r="AC58" s="18">
        <f t="shared" ca="1" si="16"/>
        <v>0</v>
      </c>
      <c r="AD58" s="18">
        <f t="shared" ca="1" si="17"/>
        <v>0</v>
      </c>
    </row>
    <row r="59" spans="1:30" ht="75">
      <c r="A59" s="38" t="s">
        <v>115</v>
      </c>
      <c r="B59" s="8" t="s">
        <v>140</v>
      </c>
      <c r="C59" s="16"/>
      <c r="D59" s="17"/>
      <c r="E59" s="2"/>
      <c r="F59" s="2"/>
      <c r="G59" s="2"/>
      <c r="H59" s="2"/>
      <c r="I59" s="2"/>
      <c r="J59" s="17"/>
      <c r="K59" s="1">
        <f t="shared" si="2"/>
        <v>0</v>
      </c>
      <c r="L59" s="8" t="s">
        <v>181</v>
      </c>
      <c r="M59" s="3"/>
      <c r="N59" s="10"/>
      <c r="O59" s="5" t="s">
        <v>180</v>
      </c>
      <c r="P59" s="10"/>
      <c r="Q59" s="10"/>
      <c r="R59" s="10"/>
      <c r="S59" s="10"/>
      <c r="U59" s="10"/>
      <c r="V59" s="10"/>
      <c r="W59" s="10"/>
      <c r="X59" s="18">
        <f t="shared" ca="1" si="11"/>
        <v>0</v>
      </c>
      <c r="Y59" s="18">
        <f t="shared" ca="1" si="12"/>
        <v>0</v>
      </c>
      <c r="Z59" s="18">
        <f t="shared" ca="1" si="13"/>
        <v>0</v>
      </c>
      <c r="AA59" s="18">
        <f t="shared" ca="1" si="14"/>
        <v>0</v>
      </c>
      <c r="AB59" s="18">
        <f t="shared" ca="1" si="15"/>
        <v>0</v>
      </c>
      <c r="AC59" s="18">
        <f t="shared" ca="1" si="16"/>
        <v>0</v>
      </c>
      <c r="AD59" s="18">
        <f t="shared" ca="1" si="17"/>
        <v>0</v>
      </c>
    </row>
    <row r="60" spans="1:30" ht="75">
      <c r="A60" s="38" t="s">
        <v>115</v>
      </c>
      <c r="B60" s="8" t="s">
        <v>178</v>
      </c>
      <c r="C60" s="16"/>
      <c r="D60" s="17"/>
      <c r="E60" s="2"/>
      <c r="F60" s="2"/>
      <c r="G60" s="2"/>
      <c r="H60" s="2"/>
      <c r="I60" s="2"/>
      <c r="J60" s="17"/>
      <c r="K60" s="1">
        <f t="shared" si="2"/>
        <v>0</v>
      </c>
      <c r="L60" s="8" t="s">
        <v>181</v>
      </c>
      <c r="M60" s="3"/>
      <c r="N60" s="10"/>
      <c r="O60" s="5" t="s">
        <v>180</v>
      </c>
      <c r="P60" s="10"/>
      <c r="Q60" s="10"/>
      <c r="R60" s="10"/>
      <c r="S60" s="10"/>
      <c r="U60" s="10"/>
      <c r="V60" s="10"/>
      <c r="W60" s="10"/>
      <c r="X60" s="18">
        <f t="shared" ca="1" si="11"/>
        <v>0</v>
      </c>
      <c r="Y60" s="18">
        <f t="shared" ca="1" si="12"/>
        <v>0</v>
      </c>
      <c r="Z60" s="18">
        <f t="shared" ca="1" si="13"/>
        <v>0</v>
      </c>
      <c r="AA60" s="18">
        <f t="shared" ca="1" si="14"/>
        <v>0</v>
      </c>
      <c r="AB60" s="18">
        <f t="shared" ca="1" si="15"/>
        <v>0</v>
      </c>
      <c r="AC60" s="18">
        <f t="shared" ca="1" si="16"/>
        <v>0</v>
      </c>
      <c r="AD60" s="18">
        <f t="shared" ca="1" si="17"/>
        <v>0</v>
      </c>
    </row>
    <row r="61" spans="1:30" ht="75">
      <c r="A61" s="38" t="s">
        <v>116</v>
      </c>
      <c r="B61" s="8" t="s">
        <v>117</v>
      </c>
      <c r="C61" s="16"/>
      <c r="D61" s="17"/>
      <c r="E61" s="2"/>
      <c r="F61" s="2"/>
      <c r="G61" s="2"/>
      <c r="H61" s="2"/>
      <c r="I61" s="2"/>
      <c r="J61" s="17"/>
      <c r="K61" s="1">
        <f t="shared" si="2"/>
        <v>0</v>
      </c>
      <c r="L61" s="8" t="s">
        <v>181</v>
      </c>
      <c r="M61" s="3"/>
      <c r="N61" s="10"/>
      <c r="O61" s="5" t="s">
        <v>180</v>
      </c>
      <c r="P61" s="10"/>
      <c r="Q61" s="10"/>
      <c r="R61" s="10"/>
      <c r="S61" s="10"/>
      <c r="U61" s="10"/>
      <c r="V61" s="10"/>
      <c r="W61" s="10"/>
      <c r="X61" s="18">
        <f t="shared" ca="1" si="11"/>
        <v>0</v>
      </c>
      <c r="Y61" s="18">
        <f t="shared" ca="1" si="12"/>
        <v>0</v>
      </c>
      <c r="Z61" s="18">
        <f t="shared" ca="1" si="13"/>
        <v>0</v>
      </c>
      <c r="AA61" s="18">
        <f t="shared" ca="1" si="14"/>
        <v>0</v>
      </c>
      <c r="AB61" s="18">
        <f t="shared" ca="1" si="15"/>
        <v>0</v>
      </c>
      <c r="AC61" s="18">
        <f t="shared" ca="1" si="16"/>
        <v>0</v>
      </c>
      <c r="AD61" s="18">
        <f t="shared" ca="1" si="17"/>
        <v>0</v>
      </c>
    </row>
    <row r="62" spans="1:30" ht="75">
      <c r="A62" s="38" t="s">
        <v>116</v>
      </c>
      <c r="B62" s="8" t="s">
        <v>118</v>
      </c>
      <c r="C62" s="16"/>
      <c r="D62" s="17"/>
      <c r="E62" s="2"/>
      <c r="F62" s="2"/>
      <c r="G62" s="2"/>
      <c r="H62" s="2"/>
      <c r="I62" s="2"/>
      <c r="J62" s="17"/>
      <c r="K62" s="1">
        <f t="shared" si="2"/>
        <v>0</v>
      </c>
      <c r="L62" s="8" t="s">
        <v>181</v>
      </c>
      <c r="M62" s="3"/>
      <c r="N62" s="10"/>
      <c r="O62" s="5" t="s">
        <v>180</v>
      </c>
      <c r="P62" s="10"/>
      <c r="Q62" s="10"/>
      <c r="R62" s="10"/>
      <c r="S62" s="10"/>
      <c r="U62" s="10"/>
      <c r="V62" s="10"/>
      <c r="W62" s="10"/>
      <c r="X62" s="18">
        <f t="shared" ca="1" si="11"/>
        <v>0</v>
      </c>
      <c r="Y62" s="18">
        <f t="shared" ca="1" si="12"/>
        <v>0</v>
      </c>
      <c r="Z62" s="18">
        <f t="shared" ca="1" si="13"/>
        <v>0</v>
      </c>
      <c r="AA62" s="18">
        <f t="shared" ca="1" si="14"/>
        <v>0</v>
      </c>
      <c r="AB62" s="18">
        <f t="shared" ca="1" si="15"/>
        <v>0</v>
      </c>
      <c r="AC62" s="18">
        <f t="shared" ca="1" si="16"/>
        <v>0</v>
      </c>
      <c r="AD62" s="18">
        <f t="shared" ca="1" si="17"/>
        <v>0</v>
      </c>
    </row>
    <row r="63" spans="1:30" ht="75">
      <c r="A63" s="38" t="s">
        <v>116</v>
      </c>
      <c r="B63" s="8" t="s">
        <v>119</v>
      </c>
      <c r="C63" s="16"/>
      <c r="D63" s="17"/>
      <c r="E63" s="2"/>
      <c r="F63" s="2"/>
      <c r="G63" s="2"/>
      <c r="H63" s="2"/>
      <c r="I63" s="2"/>
      <c r="J63" s="17"/>
      <c r="K63" s="1">
        <f t="shared" si="2"/>
        <v>0</v>
      </c>
      <c r="L63" s="8" t="s">
        <v>181</v>
      </c>
      <c r="M63" s="3"/>
      <c r="N63" s="10"/>
      <c r="O63" s="5" t="s">
        <v>180</v>
      </c>
      <c r="P63" s="10"/>
      <c r="Q63" s="10"/>
      <c r="R63" s="10"/>
      <c r="S63" s="10"/>
      <c r="U63" s="10"/>
      <c r="V63" s="10"/>
      <c r="W63" s="10"/>
      <c r="X63" s="18">
        <f t="shared" ca="1" si="11"/>
        <v>0</v>
      </c>
      <c r="Y63" s="18">
        <f t="shared" ca="1" si="12"/>
        <v>0</v>
      </c>
      <c r="Z63" s="18">
        <f t="shared" ca="1" si="13"/>
        <v>0</v>
      </c>
      <c r="AA63" s="18">
        <f t="shared" ca="1" si="14"/>
        <v>0</v>
      </c>
      <c r="AB63" s="18">
        <f t="shared" ca="1" si="15"/>
        <v>0</v>
      </c>
      <c r="AC63" s="18">
        <f t="shared" ca="1" si="16"/>
        <v>0</v>
      </c>
      <c r="AD63" s="18">
        <f t="shared" ca="1" si="17"/>
        <v>0</v>
      </c>
    </row>
    <row r="64" spans="1:30" ht="75">
      <c r="A64" s="38" t="s">
        <v>116</v>
      </c>
      <c r="B64" s="8" t="s">
        <v>120</v>
      </c>
      <c r="C64" s="16"/>
      <c r="D64" s="17"/>
      <c r="E64" s="2"/>
      <c r="F64" s="2"/>
      <c r="G64" s="2"/>
      <c r="H64" s="2"/>
      <c r="I64" s="2"/>
      <c r="J64" s="17"/>
      <c r="K64" s="1">
        <f t="shared" si="2"/>
        <v>0</v>
      </c>
      <c r="L64" s="8" t="s">
        <v>181</v>
      </c>
      <c r="M64" s="3"/>
      <c r="N64" s="10"/>
      <c r="O64" s="5" t="s">
        <v>180</v>
      </c>
      <c r="P64" s="10"/>
      <c r="Q64" s="10"/>
      <c r="R64" s="10"/>
      <c r="S64" s="10"/>
      <c r="U64" s="10"/>
      <c r="V64" s="10"/>
      <c r="W64" s="10"/>
      <c r="X64" s="18">
        <f t="shared" ca="1" si="11"/>
        <v>0</v>
      </c>
      <c r="Y64" s="18">
        <f t="shared" ca="1" si="12"/>
        <v>0</v>
      </c>
      <c r="Z64" s="18">
        <f t="shared" ca="1" si="13"/>
        <v>0</v>
      </c>
      <c r="AA64" s="18">
        <f t="shared" ca="1" si="14"/>
        <v>0</v>
      </c>
      <c r="AB64" s="18">
        <f t="shared" ca="1" si="15"/>
        <v>0</v>
      </c>
      <c r="AC64" s="18">
        <f t="shared" ca="1" si="16"/>
        <v>0</v>
      </c>
      <c r="AD64" s="18">
        <f t="shared" ca="1" si="17"/>
        <v>0</v>
      </c>
    </row>
    <row r="65" spans="1:30" ht="75">
      <c r="A65" s="38" t="s">
        <v>116</v>
      </c>
      <c r="B65" s="8" t="s">
        <v>121</v>
      </c>
      <c r="C65" s="16"/>
      <c r="D65" s="17"/>
      <c r="E65" s="2"/>
      <c r="F65" s="2"/>
      <c r="G65" s="2"/>
      <c r="H65" s="2"/>
      <c r="I65" s="2"/>
      <c r="J65" s="17"/>
      <c r="K65" s="1">
        <f t="shared" si="2"/>
        <v>0</v>
      </c>
      <c r="L65" s="8" t="s">
        <v>181</v>
      </c>
      <c r="M65" s="3"/>
      <c r="N65" s="10"/>
      <c r="O65" s="5" t="s">
        <v>180</v>
      </c>
      <c r="P65" s="10"/>
      <c r="Q65" s="10"/>
      <c r="R65" s="10"/>
      <c r="S65" s="10"/>
      <c r="U65" s="10"/>
      <c r="V65" s="10"/>
      <c r="W65" s="10"/>
      <c r="X65" s="18">
        <f t="shared" ca="1" si="11"/>
        <v>0</v>
      </c>
      <c r="Y65" s="18">
        <f t="shared" ca="1" si="12"/>
        <v>0</v>
      </c>
      <c r="Z65" s="18">
        <f t="shared" ca="1" si="13"/>
        <v>0</v>
      </c>
      <c r="AA65" s="18">
        <f t="shared" ca="1" si="14"/>
        <v>0</v>
      </c>
      <c r="AB65" s="18">
        <f t="shared" ca="1" si="15"/>
        <v>0</v>
      </c>
      <c r="AC65" s="18">
        <f t="shared" ca="1" si="16"/>
        <v>0</v>
      </c>
      <c r="AD65" s="18">
        <f t="shared" ca="1" si="17"/>
        <v>0</v>
      </c>
    </row>
    <row r="66" spans="1:30" ht="75">
      <c r="A66" s="38" t="s">
        <v>116</v>
      </c>
      <c r="B66" s="8" t="s">
        <v>122</v>
      </c>
      <c r="C66" s="16"/>
      <c r="D66" s="17"/>
      <c r="E66" s="2"/>
      <c r="F66" s="2"/>
      <c r="G66" s="2"/>
      <c r="H66" s="2"/>
      <c r="I66" s="2"/>
      <c r="J66" s="17"/>
      <c r="K66" s="1">
        <f t="shared" si="2"/>
        <v>0</v>
      </c>
      <c r="L66" s="8" t="s">
        <v>181</v>
      </c>
      <c r="M66" s="3"/>
      <c r="N66" s="10"/>
      <c r="O66" s="5" t="s">
        <v>180</v>
      </c>
      <c r="P66" s="10"/>
      <c r="Q66" s="10"/>
      <c r="R66" s="10"/>
      <c r="S66" s="10"/>
      <c r="U66" s="10"/>
      <c r="V66" s="10"/>
      <c r="W66" s="10"/>
      <c r="X66" s="18">
        <f t="shared" ca="1" si="11"/>
        <v>0</v>
      </c>
      <c r="Y66" s="18">
        <f t="shared" ca="1" si="12"/>
        <v>0</v>
      </c>
      <c r="Z66" s="18">
        <f t="shared" ca="1" si="13"/>
        <v>0</v>
      </c>
      <c r="AA66" s="18">
        <f t="shared" ca="1" si="14"/>
        <v>0</v>
      </c>
      <c r="AB66" s="18">
        <f t="shared" ca="1" si="15"/>
        <v>0</v>
      </c>
      <c r="AC66" s="18">
        <f t="shared" ca="1" si="16"/>
        <v>0</v>
      </c>
      <c r="AD66" s="18">
        <f t="shared" ca="1" si="17"/>
        <v>0</v>
      </c>
    </row>
    <row r="67" spans="1:30" ht="75">
      <c r="A67" s="38" t="s">
        <v>116</v>
      </c>
      <c r="B67" s="8" t="s">
        <v>123</v>
      </c>
      <c r="C67" s="16"/>
      <c r="D67" s="17"/>
      <c r="E67" s="2"/>
      <c r="F67" s="2"/>
      <c r="G67" s="2"/>
      <c r="H67" s="2"/>
      <c r="I67" s="2"/>
      <c r="J67" s="17"/>
      <c r="K67" s="1">
        <f t="shared" si="2"/>
        <v>0</v>
      </c>
      <c r="L67" s="8" t="s">
        <v>181</v>
      </c>
      <c r="M67" s="3"/>
      <c r="N67" s="10"/>
      <c r="O67" s="5" t="s">
        <v>180</v>
      </c>
      <c r="P67" s="10"/>
      <c r="Q67" s="10"/>
      <c r="R67" s="10"/>
      <c r="S67" s="10"/>
      <c r="U67" s="10"/>
      <c r="V67" s="10"/>
      <c r="W67" s="10"/>
      <c r="X67" s="18">
        <f t="shared" ca="1" si="11"/>
        <v>0</v>
      </c>
      <c r="Y67" s="18">
        <f t="shared" ca="1" si="12"/>
        <v>0</v>
      </c>
      <c r="Z67" s="18">
        <f t="shared" ca="1" si="13"/>
        <v>0</v>
      </c>
      <c r="AA67" s="18">
        <f t="shared" ca="1" si="14"/>
        <v>0</v>
      </c>
      <c r="AB67" s="18">
        <f t="shared" ca="1" si="15"/>
        <v>0</v>
      </c>
      <c r="AC67" s="18">
        <f t="shared" ca="1" si="16"/>
        <v>0</v>
      </c>
      <c r="AD67" s="18">
        <f t="shared" ca="1" si="17"/>
        <v>0</v>
      </c>
    </row>
    <row r="68" spans="1:30" ht="75">
      <c r="A68" s="38" t="s">
        <v>116</v>
      </c>
      <c r="B68" s="8" t="s">
        <v>124</v>
      </c>
      <c r="C68" s="16"/>
      <c r="D68" s="17"/>
      <c r="E68" s="2"/>
      <c r="F68" s="2"/>
      <c r="G68" s="2"/>
      <c r="H68" s="2"/>
      <c r="I68" s="2"/>
      <c r="J68" s="17"/>
      <c r="K68" s="1">
        <f t="shared" si="2"/>
        <v>0</v>
      </c>
      <c r="L68" s="8" t="s">
        <v>181</v>
      </c>
      <c r="M68" s="3"/>
      <c r="N68" s="10"/>
      <c r="O68" s="5" t="s">
        <v>180</v>
      </c>
      <c r="P68" s="10"/>
      <c r="Q68" s="10"/>
      <c r="R68" s="10"/>
      <c r="S68" s="10"/>
      <c r="U68" s="10"/>
      <c r="V68" s="10"/>
      <c r="W68" s="10"/>
      <c r="X68" s="18">
        <f t="shared" ca="1" si="11"/>
        <v>0</v>
      </c>
      <c r="Y68" s="18">
        <f t="shared" ca="1" si="12"/>
        <v>0</v>
      </c>
      <c r="Z68" s="18">
        <f t="shared" ca="1" si="13"/>
        <v>0</v>
      </c>
      <c r="AA68" s="18">
        <f t="shared" ca="1" si="14"/>
        <v>0</v>
      </c>
      <c r="AB68" s="18">
        <f t="shared" ca="1" si="15"/>
        <v>0</v>
      </c>
      <c r="AC68" s="18">
        <f t="shared" ca="1" si="16"/>
        <v>0</v>
      </c>
      <c r="AD68" s="18">
        <f t="shared" ca="1" si="17"/>
        <v>0</v>
      </c>
    </row>
    <row r="69" spans="1:30" ht="75">
      <c r="A69" s="38" t="s">
        <v>116</v>
      </c>
      <c r="B69" s="8" t="s">
        <v>125</v>
      </c>
      <c r="C69" s="16"/>
      <c r="D69" s="17"/>
      <c r="E69" s="2"/>
      <c r="F69" s="2"/>
      <c r="G69" s="2"/>
      <c r="H69" s="2"/>
      <c r="I69" s="2"/>
      <c r="J69" s="17"/>
      <c r="K69" s="1">
        <f t="shared" si="2"/>
        <v>0</v>
      </c>
      <c r="L69" s="8" t="s">
        <v>181</v>
      </c>
      <c r="M69" s="3"/>
      <c r="N69" s="10"/>
      <c r="O69" s="5" t="s">
        <v>180</v>
      </c>
      <c r="P69" s="10"/>
      <c r="Q69" s="10"/>
      <c r="R69" s="10"/>
      <c r="S69" s="10"/>
      <c r="U69" s="10"/>
      <c r="V69" s="10"/>
      <c r="W69" s="10"/>
      <c r="X69" s="18">
        <f t="shared" ca="1" si="11"/>
        <v>0</v>
      </c>
      <c r="Y69" s="18">
        <f t="shared" ca="1" si="12"/>
        <v>0</v>
      </c>
      <c r="Z69" s="18">
        <f t="shared" ca="1" si="13"/>
        <v>0</v>
      </c>
      <c r="AA69" s="18">
        <f t="shared" ca="1" si="14"/>
        <v>0</v>
      </c>
      <c r="AB69" s="18">
        <f t="shared" ca="1" si="15"/>
        <v>0</v>
      </c>
      <c r="AC69" s="18">
        <f t="shared" ca="1" si="16"/>
        <v>0</v>
      </c>
      <c r="AD69" s="18">
        <f t="shared" ca="1" si="17"/>
        <v>0</v>
      </c>
    </row>
    <row r="70" spans="1:30" ht="75">
      <c r="A70" s="38" t="s">
        <v>116</v>
      </c>
      <c r="B70" s="8" t="s">
        <v>126</v>
      </c>
      <c r="C70" s="16"/>
      <c r="D70" s="17"/>
      <c r="E70" s="2"/>
      <c r="F70" s="2"/>
      <c r="G70" s="2"/>
      <c r="H70" s="2"/>
      <c r="I70" s="2"/>
      <c r="J70" s="17"/>
      <c r="K70" s="1">
        <f t="shared" si="2"/>
        <v>0</v>
      </c>
      <c r="L70" s="8" t="s">
        <v>181</v>
      </c>
      <c r="M70" s="3"/>
      <c r="N70" s="10"/>
      <c r="O70" s="5" t="s">
        <v>180</v>
      </c>
      <c r="P70" s="10"/>
      <c r="Q70" s="10"/>
      <c r="R70" s="10"/>
      <c r="S70" s="10"/>
      <c r="U70" s="10"/>
      <c r="V70" s="10"/>
      <c r="W70" s="10"/>
      <c r="X70" s="18">
        <f t="shared" ca="1" si="11"/>
        <v>0</v>
      </c>
      <c r="Y70" s="18">
        <f t="shared" ca="1" si="12"/>
        <v>0</v>
      </c>
      <c r="Z70" s="18">
        <f t="shared" ca="1" si="13"/>
        <v>0</v>
      </c>
      <c r="AA70" s="18">
        <f t="shared" ca="1" si="14"/>
        <v>0</v>
      </c>
      <c r="AB70" s="18">
        <f t="shared" ca="1" si="15"/>
        <v>0</v>
      </c>
      <c r="AC70" s="18">
        <f t="shared" ca="1" si="16"/>
        <v>0</v>
      </c>
      <c r="AD70" s="18">
        <f t="shared" ca="1" si="17"/>
        <v>0</v>
      </c>
    </row>
    <row r="71" spans="1:30" ht="75">
      <c r="A71" s="38" t="s">
        <v>116</v>
      </c>
      <c r="B71" s="8" t="s">
        <v>127</v>
      </c>
      <c r="C71" s="16"/>
      <c r="D71" s="17"/>
      <c r="E71" s="2"/>
      <c r="F71" s="2"/>
      <c r="G71" s="2"/>
      <c r="H71" s="2"/>
      <c r="I71" s="2"/>
      <c r="J71" s="17"/>
      <c r="K71" s="1">
        <f t="shared" si="2"/>
        <v>0</v>
      </c>
      <c r="L71" s="8" t="s">
        <v>181</v>
      </c>
      <c r="M71" s="3"/>
      <c r="N71" s="10"/>
      <c r="O71" s="5" t="s">
        <v>180</v>
      </c>
      <c r="P71" s="10"/>
      <c r="Q71" s="10"/>
      <c r="R71" s="10"/>
      <c r="S71" s="10"/>
      <c r="U71" s="10"/>
      <c r="V71" s="10"/>
      <c r="W71" s="10"/>
      <c r="X71" s="18">
        <f t="shared" ca="1" si="11"/>
        <v>0</v>
      </c>
      <c r="Y71" s="18">
        <f t="shared" ca="1" si="12"/>
        <v>0</v>
      </c>
      <c r="Z71" s="18">
        <f t="shared" ca="1" si="13"/>
        <v>0</v>
      </c>
      <c r="AA71" s="18">
        <f t="shared" ca="1" si="14"/>
        <v>0</v>
      </c>
      <c r="AB71" s="18">
        <f t="shared" ca="1" si="15"/>
        <v>0</v>
      </c>
      <c r="AC71" s="18">
        <f t="shared" ca="1" si="16"/>
        <v>0</v>
      </c>
      <c r="AD71" s="18">
        <f t="shared" ca="1" si="17"/>
        <v>0</v>
      </c>
    </row>
    <row r="72" spans="1:30" ht="75">
      <c r="A72" s="38" t="s">
        <v>116</v>
      </c>
      <c r="B72" s="8" t="s">
        <v>128</v>
      </c>
      <c r="C72" s="16"/>
      <c r="D72" s="17"/>
      <c r="E72" s="2"/>
      <c r="F72" s="2"/>
      <c r="G72" s="2"/>
      <c r="H72" s="2"/>
      <c r="I72" s="2"/>
      <c r="J72" s="17"/>
      <c r="K72" s="1">
        <f t="shared" si="2"/>
        <v>0</v>
      </c>
      <c r="L72" s="8" t="s">
        <v>181</v>
      </c>
      <c r="M72" s="3"/>
      <c r="N72" s="10"/>
      <c r="O72" s="5" t="s">
        <v>180</v>
      </c>
      <c r="P72" s="10"/>
      <c r="Q72" s="10"/>
      <c r="R72" s="10"/>
      <c r="S72" s="10"/>
      <c r="U72" s="10"/>
      <c r="V72" s="10"/>
      <c r="W72" s="10"/>
      <c r="X72" s="18">
        <f t="shared" ca="1" si="11"/>
        <v>0</v>
      </c>
      <c r="Y72" s="18">
        <f t="shared" ca="1" si="12"/>
        <v>0</v>
      </c>
      <c r="Z72" s="18">
        <f t="shared" ca="1" si="13"/>
        <v>0</v>
      </c>
      <c r="AA72" s="18">
        <f t="shared" ca="1" si="14"/>
        <v>0</v>
      </c>
      <c r="AB72" s="18">
        <f t="shared" ca="1" si="15"/>
        <v>0</v>
      </c>
      <c r="AC72" s="18">
        <f t="shared" ca="1" si="16"/>
        <v>0</v>
      </c>
      <c r="AD72" s="18">
        <f t="shared" ca="1" si="17"/>
        <v>0</v>
      </c>
    </row>
    <row r="73" spans="1:30" ht="75">
      <c r="A73" s="38" t="s">
        <v>116</v>
      </c>
      <c r="B73" s="8" t="s">
        <v>129</v>
      </c>
      <c r="C73" s="16"/>
      <c r="D73" s="17"/>
      <c r="E73" s="2"/>
      <c r="F73" s="2"/>
      <c r="G73" s="2"/>
      <c r="H73" s="2"/>
      <c r="I73" s="2"/>
      <c r="J73" s="17"/>
      <c r="K73" s="1">
        <f t="shared" si="2"/>
        <v>0</v>
      </c>
      <c r="L73" s="8" t="s">
        <v>181</v>
      </c>
      <c r="M73" s="3"/>
      <c r="N73" s="10"/>
      <c r="O73" s="5" t="s">
        <v>180</v>
      </c>
      <c r="P73" s="10"/>
      <c r="Q73" s="10"/>
      <c r="R73" s="10"/>
      <c r="S73" s="10"/>
      <c r="U73" s="10"/>
      <c r="V73" s="10"/>
      <c r="W73" s="10"/>
      <c r="X73" s="18">
        <f t="shared" ca="1" si="11"/>
        <v>0</v>
      </c>
      <c r="Y73" s="18">
        <f t="shared" ca="1" si="12"/>
        <v>0</v>
      </c>
      <c r="Z73" s="18">
        <f t="shared" ca="1" si="13"/>
        <v>0</v>
      </c>
      <c r="AA73" s="18">
        <f t="shared" ca="1" si="14"/>
        <v>0</v>
      </c>
      <c r="AB73" s="18">
        <f t="shared" ca="1" si="15"/>
        <v>0</v>
      </c>
      <c r="AC73" s="18">
        <f t="shared" ca="1" si="16"/>
        <v>0</v>
      </c>
      <c r="AD73" s="18">
        <f t="shared" ca="1" si="17"/>
        <v>0</v>
      </c>
    </row>
    <row r="74" spans="1:30" ht="75">
      <c r="A74" s="38" t="s">
        <v>116</v>
      </c>
      <c r="B74" s="8" t="s">
        <v>130</v>
      </c>
      <c r="C74" s="16"/>
      <c r="D74" s="17"/>
      <c r="E74" s="2"/>
      <c r="F74" s="2"/>
      <c r="G74" s="2"/>
      <c r="H74" s="2"/>
      <c r="I74" s="2"/>
      <c r="J74" s="17"/>
      <c r="K74" s="1">
        <f t="shared" si="2"/>
        <v>0</v>
      </c>
      <c r="L74" s="8" t="s">
        <v>181</v>
      </c>
      <c r="M74" s="3"/>
      <c r="N74" s="10"/>
      <c r="O74" s="5" t="s">
        <v>180</v>
      </c>
      <c r="P74" s="10"/>
      <c r="Q74" s="10"/>
      <c r="R74" s="10"/>
      <c r="S74" s="10"/>
      <c r="U74" s="10"/>
      <c r="V74" s="10"/>
      <c r="W74" s="10"/>
      <c r="X74" s="18">
        <f t="shared" ca="1" si="11"/>
        <v>0</v>
      </c>
      <c r="Y74" s="18">
        <f t="shared" ca="1" si="12"/>
        <v>0</v>
      </c>
      <c r="Z74" s="18">
        <f t="shared" ca="1" si="13"/>
        <v>0</v>
      </c>
      <c r="AA74" s="18">
        <f t="shared" ca="1" si="14"/>
        <v>0</v>
      </c>
      <c r="AB74" s="18">
        <f t="shared" ca="1" si="15"/>
        <v>0</v>
      </c>
      <c r="AC74" s="18">
        <f t="shared" ca="1" si="16"/>
        <v>0</v>
      </c>
      <c r="AD74" s="18">
        <f t="shared" ca="1" si="17"/>
        <v>0</v>
      </c>
    </row>
    <row r="75" spans="1:30" ht="75">
      <c r="A75" s="38" t="s">
        <v>116</v>
      </c>
      <c r="B75" s="8" t="s">
        <v>131</v>
      </c>
      <c r="C75" s="16"/>
      <c r="D75" s="17"/>
      <c r="E75" s="2"/>
      <c r="F75" s="2"/>
      <c r="G75" s="2"/>
      <c r="H75" s="2"/>
      <c r="I75" s="2"/>
      <c r="J75" s="17"/>
      <c r="K75" s="1">
        <f t="shared" ref="K75:K138" si="18">SUM(D75:J75)</f>
        <v>0</v>
      </c>
      <c r="L75" s="8" t="s">
        <v>181</v>
      </c>
      <c r="M75" s="3"/>
      <c r="N75" s="10"/>
      <c r="O75" s="5" t="s">
        <v>180</v>
      </c>
      <c r="P75" s="10"/>
      <c r="Q75" s="10"/>
      <c r="R75" s="10"/>
      <c r="S75" s="10"/>
      <c r="U75" s="10"/>
      <c r="V75" s="10"/>
      <c r="W75" s="10"/>
      <c r="X75" s="18">
        <f t="shared" ca="1" si="11"/>
        <v>0</v>
      </c>
      <c r="Y75" s="18">
        <f t="shared" ca="1" si="12"/>
        <v>0</v>
      </c>
      <c r="Z75" s="18">
        <f t="shared" ca="1" si="13"/>
        <v>0</v>
      </c>
      <c r="AA75" s="18">
        <f t="shared" ca="1" si="14"/>
        <v>0</v>
      </c>
      <c r="AB75" s="18">
        <f t="shared" ca="1" si="15"/>
        <v>0</v>
      </c>
      <c r="AC75" s="18">
        <f t="shared" ca="1" si="16"/>
        <v>0</v>
      </c>
      <c r="AD75" s="18">
        <f t="shared" ca="1" si="17"/>
        <v>0</v>
      </c>
    </row>
    <row r="76" spans="1:30" ht="75">
      <c r="A76" s="38" t="s">
        <v>116</v>
      </c>
      <c r="B76" s="8" t="s">
        <v>132</v>
      </c>
      <c r="C76" s="16"/>
      <c r="D76" s="17"/>
      <c r="E76" s="2"/>
      <c r="F76" s="2"/>
      <c r="G76" s="2"/>
      <c r="H76" s="2"/>
      <c r="I76" s="2"/>
      <c r="J76" s="17"/>
      <c r="K76" s="1">
        <f t="shared" si="18"/>
        <v>0</v>
      </c>
      <c r="L76" s="8" t="s">
        <v>181</v>
      </c>
      <c r="M76" s="3"/>
      <c r="N76" s="10"/>
      <c r="O76" s="5" t="s">
        <v>180</v>
      </c>
      <c r="P76" s="10"/>
      <c r="Q76" s="10"/>
      <c r="R76" s="10"/>
      <c r="S76" s="10"/>
      <c r="U76" s="10"/>
      <c r="V76" s="10"/>
      <c r="W76" s="10"/>
      <c r="X76" s="18">
        <f t="shared" ref="X76:X139" ca="1" si="19">LEN(IFERROR(_xlfn.FORMULATEXT(D76),""))-LEN(SUBSTITUTE(IFERROR(_xlfn.FORMULATEXT(D76),""),"=",""))+LEN(IFERROR(_xlfn.FORMULATEXT(D76),""))-LEN(SUBSTITUTE(IFERROR(_xlfn.FORMULATEXT(D76),""),"+",""))</f>
        <v>0</v>
      </c>
      <c r="Y76" s="18">
        <f t="shared" ref="Y76:Y139" ca="1" si="20">LEN(IFERROR(_xlfn.FORMULATEXT(E76),""))-LEN(SUBSTITUTE(IFERROR(_xlfn.FORMULATEXT(E76),""),"=",""))+LEN(IFERROR(_xlfn.FORMULATEXT(E76),""))-LEN(SUBSTITUTE(IFERROR(_xlfn.FORMULATEXT(E76),""),"+",""))</f>
        <v>0</v>
      </c>
      <c r="Z76" s="18">
        <f t="shared" ref="Z76:Z139" ca="1" si="21">LEN(IFERROR(_xlfn.FORMULATEXT(F76),""))-LEN(SUBSTITUTE(IFERROR(_xlfn.FORMULATEXT(F76),""),"=",""))+LEN(IFERROR(_xlfn.FORMULATEXT(F76),""))-LEN(SUBSTITUTE(IFERROR(_xlfn.FORMULATEXT(F76),""),"+",""))</f>
        <v>0</v>
      </c>
      <c r="AA76" s="18">
        <f t="shared" ref="AA76:AA139" ca="1" si="22">LEN(IFERROR(_xlfn.FORMULATEXT(G76),""))-LEN(SUBSTITUTE(IFERROR(_xlfn.FORMULATEXT(G76),""),"=",""))+LEN(IFERROR(_xlfn.FORMULATEXT(G76),""))-LEN(SUBSTITUTE(IFERROR(_xlfn.FORMULATEXT(G76),""),"+",""))</f>
        <v>0</v>
      </c>
      <c r="AB76" s="18">
        <f t="shared" ref="AB76:AB139" ca="1" si="23">LEN(IFERROR(_xlfn.FORMULATEXT(H76),""))-LEN(SUBSTITUTE(IFERROR(_xlfn.FORMULATEXT(H76),""),"=",""))+LEN(IFERROR(_xlfn.FORMULATEXT(H76),""))-LEN(SUBSTITUTE(IFERROR(_xlfn.FORMULATEXT(H76),""),"+",""))</f>
        <v>0</v>
      </c>
      <c r="AC76" s="18">
        <f t="shared" ref="AC76:AC139" ca="1" si="24">LEN(IFERROR(_xlfn.FORMULATEXT(I76),""))-LEN(SUBSTITUTE(IFERROR(_xlfn.FORMULATEXT(I76),""),"=",""))+LEN(IFERROR(_xlfn.FORMULATEXT(I76),""))-LEN(SUBSTITUTE(IFERROR(_xlfn.FORMULATEXT(I76),""),"+",""))</f>
        <v>0</v>
      </c>
      <c r="AD76" s="18">
        <f t="shared" ref="AD76:AD139" ca="1" si="25">LEN(IFERROR(_xlfn.FORMULATEXT(J76),""))-LEN(SUBSTITUTE(IFERROR(_xlfn.FORMULATEXT(J76),""),"=",""))+LEN(IFERROR(_xlfn.FORMULATEXT(J76),""))-LEN(SUBSTITUTE(IFERROR(_xlfn.FORMULATEXT(J76),""),"+",""))</f>
        <v>0</v>
      </c>
    </row>
    <row r="77" spans="1:30" ht="75">
      <c r="A77" s="38" t="s">
        <v>116</v>
      </c>
      <c r="B77" s="8" t="s">
        <v>133</v>
      </c>
      <c r="C77" s="16"/>
      <c r="D77" s="17"/>
      <c r="E77" s="2"/>
      <c r="F77" s="2"/>
      <c r="G77" s="2"/>
      <c r="H77" s="2"/>
      <c r="I77" s="2"/>
      <c r="J77" s="17"/>
      <c r="K77" s="1">
        <f t="shared" si="18"/>
        <v>0</v>
      </c>
      <c r="L77" s="8" t="s">
        <v>181</v>
      </c>
      <c r="M77" s="3"/>
      <c r="N77" s="10"/>
      <c r="O77" s="5" t="s">
        <v>180</v>
      </c>
      <c r="P77" s="10"/>
      <c r="Q77" s="10"/>
      <c r="R77" s="10"/>
      <c r="S77" s="10"/>
      <c r="U77" s="10"/>
      <c r="V77" s="10"/>
      <c r="W77" s="10"/>
      <c r="X77" s="18">
        <f t="shared" ca="1" si="19"/>
        <v>0</v>
      </c>
      <c r="Y77" s="18">
        <f t="shared" ca="1" si="20"/>
        <v>0</v>
      </c>
      <c r="Z77" s="18">
        <f t="shared" ca="1" si="21"/>
        <v>0</v>
      </c>
      <c r="AA77" s="18">
        <f t="shared" ca="1" si="22"/>
        <v>0</v>
      </c>
      <c r="AB77" s="18">
        <f t="shared" ca="1" si="23"/>
        <v>0</v>
      </c>
      <c r="AC77" s="18">
        <f t="shared" ca="1" si="24"/>
        <v>0</v>
      </c>
      <c r="AD77" s="18">
        <f t="shared" ca="1" si="25"/>
        <v>0</v>
      </c>
    </row>
    <row r="78" spans="1:30" ht="75">
      <c r="A78" s="38" t="s">
        <v>116</v>
      </c>
      <c r="B78" s="8" t="s">
        <v>134</v>
      </c>
      <c r="C78" s="16"/>
      <c r="D78" s="17"/>
      <c r="E78" s="2"/>
      <c r="F78" s="2"/>
      <c r="G78" s="2"/>
      <c r="H78" s="2"/>
      <c r="I78" s="2"/>
      <c r="J78" s="17"/>
      <c r="K78" s="1">
        <f t="shared" si="18"/>
        <v>0</v>
      </c>
      <c r="L78" s="8" t="s">
        <v>181</v>
      </c>
      <c r="M78" s="3"/>
      <c r="N78" s="10"/>
      <c r="O78" s="5" t="s">
        <v>180</v>
      </c>
      <c r="P78" s="10"/>
      <c r="Q78" s="10"/>
      <c r="R78" s="10"/>
      <c r="S78" s="10"/>
      <c r="U78" s="10"/>
      <c r="V78" s="10"/>
      <c r="W78" s="10"/>
      <c r="X78" s="18">
        <f t="shared" ca="1" si="19"/>
        <v>0</v>
      </c>
      <c r="Y78" s="18">
        <f t="shared" ca="1" si="20"/>
        <v>0</v>
      </c>
      <c r="Z78" s="18">
        <f t="shared" ca="1" si="21"/>
        <v>0</v>
      </c>
      <c r="AA78" s="18">
        <f t="shared" ca="1" si="22"/>
        <v>0</v>
      </c>
      <c r="AB78" s="18">
        <f t="shared" ca="1" si="23"/>
        <v>0</v>
      </c>
      <c r="AC78" s="18">
        <f t="shared" ca="1" si="24"/>
        <v>0</v>
      </c>
      <c r="AD78" s="18">
        <f t="shared" ca="1" si="25"/>
        <v>0</v>
      </c>
    </row>
    <row r="79" spans="1:30" ht="75">
      <c r="A79" s="38" t="s">
        <v>116</v>
      </c>
      <c r="B79" s="8" t="s">
        <v>135</v>
      </c>
      <c r="C79" s="16"/>
      <c r="D79" s="17"/>
      <c r="E79" s="2"/>
      <c r="F79" s="2"/>
      <c r="G79" s="2"/>
      <c r="H79" s="2"/>
      <c r="I79" s="2"/>
      <c r="J79" s="17"/>
      <c r="K79" s="1">
        <f t="shared" si="18"/>
        <v>0</v>
      </c>
      <c r="L79" s="8" t="s">
        <v>181</v>
      </c>
      <c r="M79" s="3"/>
      <c r="N79" s="10"/>
      <c r="O79" s="5" t="s">
        <v>180</v>
      </c>
      <c r="P79" s="10"/>
      <c r="Q79" s="10"/>
      <c r="R79" s="10"/>
      <c r="S79" s="10"/>
      <c r="U79" s="10"/>
      <c r="V79" s="10"/>
      <c r="W79" s="10"/>
      <c r="X79" s="18">
        <f t="shared" ca="1" si="19"/>
        <v>0</v>
      </c>
      <c r="Y79" s="18">
        <f t="shared" ca="1" si="20"/>
        <v>0</v>
      </c>
      <c r="Z79" s="18">
        <f t="shared" ca="1" si="21"/>
        <v>0</v>
      </c>
      <c r="AA79" s="18">
        <f t="shared" ca="1" si="22"/>
        <v>0</v>
      </c>
      <c r="AB79" s="18">
        <f t="shared" ca="1" si="23"/>
        <v>0</v>
      </c>
      <c r="AC79" s="18">
        <f t="shared" ca="1" si="24"/>
        <v>0</v>
      </c>
      <c r="AD79" s="18">
        <f t="shared" ca="1" si="25"/>
        <v>0</v>
      </c>
    </row>
    <row r="80" spans="1:30" ht="75">
      <c r="A80" s="38" t="s">
        <v>116</v>
      </c>
      <c r="B80" s="8" t="s">
        <v>136</v>
      </c>
      <c r="C80" s="16"/>
      <c r="D80" s="17"/>
      <c r="E80" s="2"/>
      <c r="F80" s="2"/>
      <c r="G80" s="2"/>
      <c r="H80" s="2"/>
      <c r="I80" s="2"/>
      <c r="J80" s="17"/>
      <c r="K80" s="1">
        <f t="shared" si="18"/>
        <v>0</v>
      </c>
      <c r="L80" s="8" t="s">
        <v>181</v>
      </c>
      <c r="M80" s="3"/>
      <c r="N80" s="10"/>
      <c r="O80" s="5" t="s">
        <v>180</v>
      </c>
      <c r="P80" s="10"/>
      <c r="Q80" s="10"/>
      <c r="R80" s="10"/>
      <c r="S80" s="10"/>
      <c r="U80" s="10"/>
      <c r="V80" s="10"/>
      <c r="W80" s="10"/>
      <c r="X80" s="18">
        <f t="shared" ca="1" si="19"/>
        <v>0</v>
      </c>
      <c r="Y80" s="18">
        <f t="shared" ca="1" si="20"/>
        <v>0</v>
      </c>
      <c r="Z80" s="18">
        <f t="shared" ca="1" si="21"/>
        <v>0</v>
      </c>
      <c r="AA80" s="18">
        <f t="shared" ca="1" si="22"/>
        <v>0</v>
      </c>
      <c r="AB80" s="18">
        <f t="shared" ca="1" si="23"/>
        <v>0</v>
      </c>
      <c r="AC80" s="18">
        <f t="shared" ca="1" si="24"/>
        <v>0</v>
      </c>
      <c r="AD80" s="18">
        <f t="shared" ca="1" si="25"/>
        <v>0</v>
      </c>
    </row>
    <row r="81" spans="1:30" ht="75">
      <c r="A81" s="38" t="s">
        <v>116</v>
      </c>
      <c r="B81" s="8" t="s">
        <v>137</v>
      </c>
      <c r="C81" s="16"/>
      <c r="D81" s="17"/>
      <c r="E81" s="2"/>
      <c r="F81" s="2"/>
      <c r="G81" s="2"/>
      <c r="H81" s="2"/>
      <c r="I81" s="2"/>
      <c r="J81" s="17"/>
      <c r="K81" s="1">
        <f t="shared" si="18"/>
        <v>0</v>
      </c>
      <c r="L81" s="8" t="s">
        <v>181</v>
      </c>
      <c r="M81" s="3"/>
      <c r="N81" s="10"/>
      <c r="O81" s="5" t="s">
        <v>180</v>
      </c>
      <c r="P81" s="10"/>
      <c r="Q81" s="10"/>
      <c r="R81" s="10"/>
      <c r="S81" s="10"/>
      <c r="U81" s="10"/>
      <c r="V81" s="10"/>
      <c r="W81" s="10"/>
      <c r="X81" s="18">
        <f t="shared" ca="1" si="19"/>
        <v>0</v>
      </c>
      <c r="Y81" s="18">
        <f t="shared" ca="1" si="20"/>
        <v>0</v>
      </c>
      <c r="Z81" s="18">
        <f t="shared" ca="1" si="21"/>
        <v>0</v>
      </c>
      <c r="AA81" s="18">
        <f t="shared" ca="1" si="22"/>
        <v>0</v>
      </c>
      <c r="AB81" s="18">
        <f t="shared" ca="1" si="23"/>
        <v>0</v>
      </c>
      <c r="AC81" s="18">
        <f t="shared" ca="1" si="24"/>
        <v>0</v>
      </c>
      <c r="AD81" s="18">
        <f t="shared" ca="1" si="25"/>
        <v>0</v>
      </c>
    </row>
    <row r="82" spans="1:30" ht="75">
      <c r="A82" s="38" t="s">
        <v>116</v>
      </c>
      <c r="B82" s="8" t="s">
        <v>138</v>
      </c>
      <c r="C82" s="16"/>
      <c r="D82" s="17"/>
      <c r="E82" s="2"/>
      <c r="F82" s="2"/>
      <c r="G82" s="2"/>
      <c r="H82" s="2"/>
      <c r="I82" s="2"/>
      <c r="J82" s="17"/>
      <c r="K82" s="1">
        <f t="shared" si="18"/>
        <v>0</v>
      </c>
      <c r="L82" s="8" t="s">
        <v>181</v>
      </c>
      <c r="M82" s="3"/>
      <c r="N82" s="10"/>
      <c r="O82" s="5" t="s">
        <v>180</v>
      </c>
      <c r="P82" s="10"/>
      <c r="Q82" s="10"/>
      <c r="R82" s="10"/>
      <c r="S82" s="10"/>
      <c r="U82" s="10"/>
      <c r="V82" s="10"/>
      <c r="W82" s="10"/>
      <c r="X82" s="18">
        <f t="shared" ca="1" si="19"/>
        <v>0</v>
      </c>
      <c r="Y82" s="18">
        <f t="shared" ca="1" si="20"/>
        <v>0</v>
      </c>
      <c r="Z82" s="18">
        <f t="shared" ca="1" si="21"/>
        <v>0</v>
      </c>
      <c r="AA82" s="18">
        <f t="shared" ca="1" si="22"/>
        <v>0</v>
      </c>
      <c r="AB82" s="18">
        <f t="shared" ca="1" si="23"/>
        <v>0</v>
      </c>
      <c r="AC82" s="18">
        <f t="shared" ca="1" si="24"/>
        <v>0</v>
      </c>
      <c r="AD82" s="18">
        <f t="shared" ca="1" si="25"/>
        <v>0</v>
      </c>
    </row>
    <row r="83" spans="1:30" ht="75">
      <c r="A83" s="38" t="s">
        <v>116</v>
      </c>
      <c r="B83" s="8" t="s">
        <v>139</v>
      </c>
      <c r="C83" s="16"/>
      <c r="D83" s="17"/>
      <c r="E83" s="2">
        <f>0.5</f>
        <v>0.5</v>
      </c>
      <c r="F83" s="2"/>
      <c r="G83" s="2"/>
      <c r="H83" s="2"/>
      <c r="I83" s="2"/>
      <c r="J83" s="17"/>
      <c r="K83" s="1">
        <f t="shared" si="18"/>
        <v>0.5</v>
      </c>
      <c r="L83" s="8" t="s">
        <v>183</v>
      </c>
      <c r="M83" s="3"/>
      <c r="N83" s="10"/>
      <c r="O83" s="5" t="s">
        <v>181</v>
      </c>
      <c r="P83" s="10"/>
      <c r="Q83" s="10"/>
      <c r="R83" s="10"/>
      <c r="S83" s="10"/>
      <c r="U83" s="10"/>
      <c r="V83" s="10"/>
      <c r="W83" s="10"/>
      <c r="X83" s="18">
        <f t="shared" ca="1" si="19"/>
        <v>0</v>
      </c>
      <c r="Y83" s="18">
        <f t="shared" ca="1" si="20"/>
        <v>1</v>
      </c>
      <c r="Z83" s="18">
        <f t="shared" ca="1" si="21"/>
        <v>0</v>
      </c>
      <c r="AA83" s="18">
        <f t="shared" ca="1" si="22"/>
        <v>0</v>
      </c>
      <c r="AB83" s="18">
        <f t="shared" ca="1" si="23"/>
        <v>0</v>
      </c>
      <c r="AC83" s="18">
        <f t="shared" ca="1" si="24"/>
        <v>0</v>
      </c>
      <c r="AD83" s="18">
        <f t="shared" ca="1" si="25"/>
        <v>0</v>
      </c>
    </row>
    <row r="84" spans="1:30" ht="75">
      <c r="A84" s="38" t="s">
        <v>116</v>
      </c>
      <c r="B84" s="8" t="s">
        <v>140</v>
      </c>
      <c r="C84" s="16"/>
      <c r="D84" s="17"/>
      <c r="E84" s="2"/>
      <c r="F84" s="2"/>
      <c r="G84" s="2"/>
      <c r="H84" s="2"/>
      <c r="I84" s="2"/>
      <c r="J84" s="17"/>
      <c r="K84" s="1">
        <f t="shared" si="18"/>
        <v>0</v>
      </c>
      <c r="L84" s="8" t="s">
        <v>181</v>
      </c>
      <c r="M84" s="3"/>
      <c r="N84" s="10"/>
      <c r="O84" s="5" t="s">
        <v>180</v>
      </c>
      <c r="P84" s="10"/>
      <c r="Q84" s="10"/>
      <c r="R84" s="10"/>
      <c r="S84" s="10"/>
      <c r="U84" s="10"/>
      <c r="V84" s="10"/>
      <c r="W84" s="10"/>
      <c r="X84" s="18">
        <f t="shared" ca="1" si="19"/>
        <v>0</v>
      </c>
      <c r="Y84" s="18">
        <f t="shared" ca="1" si="20"/>
        <v>0</v>
      </c>
      <c r="Z84" s="18">
        <f t="shared" ca="1" si="21"/>
        <v>0</v>
      </c>
      <c r="AA84" s="18">
        <f t="shared" ca="1" si="22"/>
        <v>0</v>
      </c>
      <c r="AB84" s="18">
        <f t="shared" ca="1" si="23"/>
        <v>0</v>
      </c>
      <c r="AC84" s="18">
        <f t="shared" ca="1" si="24"/>
        <v>0</v>
      </c>
      <c r="AD84" s="18">
        <f t="shared" ca="1" si="25"/>
        <v>0</v>
      </c>
    </row>
    <row r="85" spans="1:30" ht="75">
      <c r="A85" s="38" t="s">
        <v>116</v>
      </c>
      <c r="B85" s="8" t="s">
        <v>178</v>
      </c>
      <c r="C85" s="16"/>
      <c r="D85" s="17"/>
      <c r="E85" s="2"/>
      <c r="F85" s="2"/>
      <c r="G85" s="2"/>
      <c r="H85" s="2"/>
      <c r="I85" s="2"/>
      <c r="J85" s="17"/>
      <c r="K85" s="1">
        <f t="shared" si="18"/>
        <v>0</v>
      </c>
      <c r="L85" s="8" t="s">
        <v>181</v>
      </c>
      <c r="M85" s="3"/>
      <c r="N85" s="10"/>
      <c r="O85" s="5" t="s">
        <v>180</v>
      </c>
      <c r="P85" s="10"/>
      <c r="Q85" s="10"/>
      <c r="R85" s="10"/>
      <c r="S85" s="10"/>
      <c r="U85" s="10"/>
      <c r="V85" s="10"/>
      <c r="W85" s="10"/>
      <c r="X85" s="18">
        <f t="shared" ca="1" si="19"/>
        <v>0</v>
      </c>
      <c r="Y85" s="18">
        <f t="shared" ca="1" si="20"/>
        <v>0</v>
      </c>
      <c r="Z85" s="18">
        <f t="shared" ca="1" si="21"/>
        <v>0</v>
      </c>
      <c r="AA85" s="18">
        <f t="shared" ca="1" si="22"/>
        <v>0</v>
      </c>
      <c r="AB85" s="18">
        <f t="shared" ca="1" si="23"/>
        <v>0</v>
      </c>
      <c r="AC85" s="18">
        <f t="shared" ca="1" si="24"/>
        <v>0</v>
      </c>
      <c r="AD85" s="18">
        <f t="shared" ca="1" si="25"/>
        <v>0</v>
      </c>
    </row>
    <row r="86" spans="1:30" ht="75">
      <c r="A86" s="38" t="s">
        <v>168</v>
      </c>
      <c r="B86" s="8" t="s">
        <v>117</v>
      </c>
      <c r="C86" s="16"/>
      <c r="D86" s="17"/>
      <c r="E86" s="2"/>
      <c r="F86" s="2"/>
      <c r="G86" s="2"/>
      <c r="H86" s="2"/>
      <c r="I86" s="2"/>
      <c r="J86" s="17"/>
      <c r="K86" s="1">
        <f t="shared" si="18"/>
        <v>0</v>
      </c>
      <c r="L86" s="8" t="s">
        <v>181</v>
      </c>
      <c r="M86" s="3"/>
      <c r="N86" s="10"/>
      <c r="O86" s="5" t="s">
        <v>180</v>
      </c>
      <c r="P86" s="10"/>
      <c r="Q86" s="10"/>
      <c r="R86" s="10"/>
      <c r="S86" s="10"/>
      <c r="U86" s="10"/>
      <c r="V86" s="10"/>
      <c r="W86" s="10"/>
      <c r="X86" s="18">
        <f t="shared" ca="1" si="19"/>
        <v>0</v>
      </c>
      <c r="Y86" s="18">
        <f t="shared" ca="1" si="20"/>
        <v>0</v>
      </c>
      <c r="Z86" s="18">
        <f t="shared" ca="1" si="21"/>
        <v>0</v>
      </c>
      <c r="AA86" s="18">
        <f t="shared" ca="1" si="22"/>
        <v>0</v>
      </c>
      <c r="AB86" s="18">
        <f t="shared" ca="1" si="23"/>
        <v>0</v>
      </c>
      <c r="AC86" s="18">
        <f t="shared" ca="1" si="24"/>
        <v>0</v>
      </c>
      <c r="AD86" s="18">
        <f t="shared" ca="1" si="25"/>
        <v>0</v>
      </c>
    </row>
    <row r="87" spans="1:30" ht="75">
      <c r="A87" s="38" t="s">
        <v>168</v>
      </c>
      <c r="B87" s="8" t="s">
        <v>118</v>
      </c>
      <c r="C87" s="16"/>
      <c r="D87" s="17"/>
      <c r="E87" s="2"/>
      <c r="F87" s="2"/>
      <c r="G87" s="2"/>
      <c r="H87" s="2"/>
      <c r="I87" s="2"/>
      <c r="J87" s="17"/>
      <c r="K87" s="1">
        <f t="shared" si="18"/>
        <v>0</v>
      </c>
      <c r="L87" s="8" t="s">
        <v>181</v>
      </c>
      <c r="M87" s="3"/>
      <c r="N87" s="10"/>
      <c r="O87" s="5" t="s">
        <v>180</v>
      </c>
      <c r="P87" s="10"/>
      <c r="Q87" s="10"/>
      <c r="R87" s="10"/>
      <c r="S87" s="10"/>
      <c r="U87" s="10"/>
      <c r="V87" s="10"/>
      <c r="W87" s="10"/>
      <c r="X87" s="18">
        <f t="shared" ca="1" si="19"/>
        <v>0</v>
      </c>
      <c r="Y87" s="18">
        <f t="shared" ca="1" si="20"/>
        <v>0</v>
      </c>
      <c r="Z87" s="18">
        <f t="shared" ca="1" si="21"/>
        <v>0</v>
      </c>
      <c r="AA87" s="18">
        <f t="shared" ca="1" si="22"/>
        <v>0</v>
      </c>
      <c r="AB87" s="18">
        <f t="shared" ca="1" si="23"/>
        <v>0</v>
      </c>
      <c r="AC87" s="18">
        <f t="shared" ca="1" si="24"/>
        <v>0</v>
      </c>
      <c r="AD87" s="18">
        <f t="shared" ca="1" si="25"/>
        <v>0</v>
      </c>
    </row>
    <row r="88" spans="1:30" ht="75">
      <c r="A88" s="38" t="s">
        <v>168</v>
      </c>
      <c r="B88" s="8" t="s">
        <v>119</v>
      </c>
      <c r="C88" s="16"/>
      <c r="D88" s="17"/>
      <c r="E88" s="2"/>
      <c r="F88" s="2"/>
      <c r="G88" s="2"/>
      <c r="H88" s="2"/>
      <c r="I88" s="2"/>
      <c r="J88" s="17"/>
      <c r="K88" s="1">
        <f t="shared" si="18"/>
        <v>0</v>
      </c>
      <c r="L88" s="8" t="s">
        <v>181</v>
      </c>
      <c r="M88" s="3"/>
      <c r="N88" s="10"/>
      <c r="O88" s="5" t="s">
        <v>180</v>
      </c>
      <c r="P88" s="10"/>
      <c r="Q88" s="10"/>
      <c r="R88" s="10"/>
      <c r="S88" s="10"/>
      <c r="U88" s="10"/>
      <c r="V88" s="10"/>
      <c r="W88" s="10"/>
      <c r="X88" s="18">
        <f t="shared" ca="1" si="19"/>
        <v>0</v>
      </c>
      <c r="Y88" s="18">
        <f t="shared" ca="1" si="20"/>
        <v>0</v>
      </c>
      <c r="Z88" s="18">
        <f t="shared" ca="1" si="21"/>
        <v>0</v>
      </c>
      <c r="AA88" s="18">
        <f t="shared" ca="1" si="22"/>
        <v>0</v>
      </c>
      <c r="AB88" s="18">
        <f t="shared" ca="1" si="23"/>
        <v>0</v>
      </c>
      <c r="AC88" s="18">
        <f t="shared" ca="1" si="24"/>
        <v>0</v>
      </c>
      <c r="AD88" s="18">
        <f t="shared" ca="1" si="25"/>
        <v>0</v>
      </c>
    </row>
    <row r="89" spans="1:30" ht="75">
      <c r="A89" s="38" t="s">
        <v>168</v>
      </c>
      <c r="B89" s="8" t="s">
        <v>120</v>
      </c>
      <c r="C89" s="16"/>
      <c r="D89" s="17"/>
      <c r="E89" s="2"/>
      <c r="F89" s="2"/>
      <c r="G89" s="2"/>
      <c r="H89" s="2"/>
      <c r="I89" s="2"/>
      <c r="J89" s="17"/>
      <c r="K89" s="1">
        <f t="shared" si="18"/>
        <v>0</v>
      </c>
      <c r="L89" s="8" t="s">
        <v>181</v>
      </c>
      <c r="M89" s="3"/>
      <c r="N89" s="10"/>
      <c r="O89" s="5" t="s">
        <v>180</v>
      </c>
      <c r="P89" s="10"/>
      <c r="Q89" s="10"/>
      <c r="R89" s="10"/>
      <c r="S89" s="10"/>
      <c r="U89" s="10"/>
      <c r="V89" s="10"/>
      <c r="W89" s="10"/>
      <c r="X89" s="18">
        <f t="shared" ca="1" si="19"/>
        <v>0</v>
      </c>
      <c r="Y89" s="18">
        <f t="shared" ca="1" si="20"/>
        <v>0</v>
      </c>
      <c r="Z89" s="18">
        <f t="shared" ca="1" si="21"/>
        <v>0</v>
      </c>
      <c r="AA89" s="18">
        <f t="shared" ca="1" si="22"/>
        <v>0</v>
      </c>
      <c r="AB89" s="18">
        <f t="shared" ca="1" si="23"/>
        <v>0</v>
      </c>
      <c r="AC89" s="18">
        <f t="shared" ca="1" si="24"/>
        <v>0</v>
      </c>
      <c r="AD89" s="18">
        <f t="shared" ca="1" si="25"/>
        <v>0</v>
      </c>
    </row>
    <row r="90" spans="1:30" ht="75">
      <c r="A90" s="38" t="s">
        <v>168</v>
      </c>
      <c r="B90" s="8" t="s">
        <v>121</v>
      </c>
      <c r="C90" s="16"/>
      <c r="D90" s="17"/>
      <c r="E90" s="2"/>
      <c r="F90" s="2"/>
      <c r="G90" s="2"/>
      <c r="H90" s="2"/>
      <c r="I90" s="2"/>
      <c r="J90" s="17"/>
      <c r="K90" s="1">
        <f t="shared" si="18"/>
        <v>0</v>
      </c>
      <c r="L90" s="8" t="s">
        <v>181</v>
      </c>
      <c r="M90" s="3"/>
      <c r="N90" s="10"/>
      <c r="O90" s="5" t="s">
        <v>180</v>
      </c>
      <c r="P90" s="10"/>
      <c r="Q90" s="10"/>
      <c r="R90" s="10"/>
      <c r="S90" s="10"/>
      <c r="U90" s="10"/>
      <c r="V90" s="10"/>
      <c r="W90" s="10"/>
      <c r="X90" s="18">
        <f t="shared" ca="1" si="19"/>
        <v>0</v>
      </c>
      <c r="Y90" s="18">
        <f t="shared" ca="1" si="20"/>
        <v>0</v>
      </c>
      <c r="Z90" s="18">
        <f t="shared" ca="1" si="21"/>
        <v>0</v>
      </c>
      <c r="AA90" s="18">
        <f t="shared" ca="1" si="22"/>
        <v>0</v>
      </c>
      <c r="AB90" s="18">
        <f t="shared" ca="1" si="23"/>
        <v>0</v>
      </c>
      <c r="AC90" s="18">
        <f t="shared" ca="1" si="24"/>
        <v>0</v>
      </c>
      <c r="AD90" s="18">
        <f t="shared" ca="1" si="25"/>
        <v>0</v>
      </c>
    </row>
    <row r="91" spans="1:30" ht="75">
      <c r="A91" s="38" t="s">
        <v>168</v>
      </c>
      <c r="B91" s="8" t="s">
        <v>122</v>
      </c>
      <c r="C91" s="16"/>
      <c r="D91" s="17"/>
      <c r="E91" s="2"/>
      <c r="F91" s="2"/>
      <c r="G91" s="2"/>
      <c r="H91" s="2"/>
      <c r="I91" s="2"/>
      <c r="J91" s="17"/>
      <c r="K91" s="1">
        <f t="shared" si="18"/>
        <v>0</v>
      </c>
      <c r="L91" s="8" t="s">
        <v>181</v>
      </c>
      <c r="M91" s="3"/>
      <c r="N91" s="10"/>
      <c r="O91" s="5" t="s">
        <v>180</v>
      </c>
      <c r="P91" s="10"/>
      <c r="Q91" s="10"/>
      <c r="R91" s="10"/>
      <c r="S91" s="10"/>
      <c r="U91" s="10"/>
      <c r="V91" s="10"/>
      <c r="W91" s="10"/>
      <c r="X91" s="18">
        <f t="shared" ca="1" si="19"/>
        <v>0</v>
      </c>
      <c r="Y91" s="18">
        <f t="shared" ca="1" si="20"/>
        <v>0</v>
      </c>
      <c r="Z91" s="18">
        <f t="shared" ca="1" si="21"/>
        <v>0</v>
      </c>
      <c r="AA91" s="18">
        <f t="shared" ca="1" si="22"/>
        <v>0</v>
      </c>
      <c r="AB91" s="18">
        <f t="shared" ca="1" si="23"/>
        <v>0</v>
      </c>
      <c r="AC91" s="18">
        <f t="shared" ca="1" si="24"/>
        <v>0</v>
      </c>
      <c r="AD91" s="18">
        <f t="shared" ca="1" si="25"/>
        <v>0</v>
      </c>
    </row>
    <row r="92" spans="1:30" ht="75">
      <c r="A92" s="38" t="s">
        <v>168</v>
      </c>
      <c r="B92" s="8" t="s">
        <v>123</v>
      </c>
      <c r="C92" s="16"/>
      <c r="D92" s="17"/>
      <c r="E92" s="2"/>
      <c r="F92" s="2"/>
      <c r="G92" s="2"/>
      <c r="H92" s="2"/>
      <c r="I92" s="2"/>
      <c r="J92" s="17"/>
      <c r="K92" s="1">
        <f t="shared" si="18"/>
        <v>0</v>
      </c>
      <c r="L92" s="8" t="s">
        <v>181</v>
      </c>
      <c r="M92" s="3"/>
      <c r="N92" s="10"/>
      <c r="O92" s="5" t="s">
        <v>180</v>
      </c>
      <c r="P92" s="10"/>
      <c r="Q92" s="10"/>
      <c r="R92" s="10"/>
      <c r="S92" s="10"/>
      <c r="U92" s="10"/>
      <c r="V92" s="10"/>
      <c r="W92" s="10"/>
      <c r="X92" s="18">
        <f t="shared" ca="1" si="19"/>
        <v>0</v>
      </c>
      <c r="Y92" s="18">
        <f t="shared" ca="1" si="20"/>
        <v>0</v>
      </c>
      <c r="Z92" s="18">
        <f t="shared" ca="1" si="21"/>
        <v>0</v>
      </c>
      <c r="AA92" s="18">
        <f t="shared" ca="1" si="22"/>
        <v>0</v>
      </c>
      <c r="AB92" s="18">
        <f t="shared" ca="1" si="23"/>
        <v>0</v>
      </c>
      <c r="AC92" s="18">
        <f t="shared" ca="1" si="24"/>
        <v>0</v>
      </c>
      <c r="AD92" s="18">
        <f t="shared" ca="1" si="25"/>
        <v>0</v>
      </c>
    </row>
    <row r="93" spans="1:30" ht="75">
      <c r="A93" s="38" t="s">
        <v>168</v>
      </c>
      <c r="B93" s="8" t="s">
        <v>124</v>
      </c>
      <c r="C93" s="16"/>
      <c r="D93" s="17"/>
      <c r="E93" s="2"/>
      <c r="F93" s="2"/>
      <c r="G93" s="2"/>
      <c r="H93" s="2"/>
      <c r="I93" s="2"/>
      <c r="J93" s="17"/>
      <c r="K93" s="1">
        <f t="shared" si="18"/>
        <v>0</v>
      </c>
      <c r="L93" s="8" t="s">
        <v>181</v>
      </c>
      <c r="M93" s="3"/>
      <c r="N93" s="10"/>
      <c r="O93" s="5" t="s">
        <v>180</v>
      </c>
      <c r="P93" s="10"/>
      <c r="Q93" s="10"/>
      <c r="R93" s="10"/>
      <c r="S93" s="10"/>
      <c r="U93" s="10"/>
      <c r="V93" s="10"/>
      <c r="W93" s="10"/>
      <c r="X93" s="18">
        <f t="shared" ca="1" si="19"/>
        <v>0</v>
      </c>
      <c r="Y93" s="18">
        <f t="shared" ca="1" si="20"/>
        <v>0</v>
      </c>
      <c r="Z93" s="18">
        <f t="shared" ca="1" si="21"/>
        <v>0</v>
      </c>
      <c r="AA93" s="18">
        <f t="shared" ca="1" si="22"/>
        <v>0</v>
      </c>
      <c r="AB93" s="18">
        <f t="shared" ca="1" si="23"/>
        <v>0</v>
      </c>
      <c r="AC93" s="18">
        <f t="shared" ca="1" si="24"/>
        <v>0</v>
      </c>
      <c r="AD93" s="18">
        <f t="shared" ca="1" si="25"/>
        <v>0</v>
      </c>
    </row>
    <row r="94" spans="1:30" ht="75">
      <c r="A94" s="38" t="s">
        <v>168</v>
      </c>
      <c r="B94" s="8" t="s">
        <v>125</v>
      </c>
      <c r="C94" s="16"/>
      <c r="D94" s="17"/>
      <c r="E94" s="2"/>
      <c r="F94" s="2"/>
      <c r="G94" s="2"/>
      <c r="H94" s="2"/>
      <c r="I94" s="2"/>
      <c r="J94" s="17"/>
      <c r="K94" s="1">
        <f t="shared" si="18"/>
        <v>0</v>
      </c>
      <c r="L94" s="8" t="s">
        <v>181</v>
      </c>
      <c r="M94" s="3"/>
      <c r="N94" s="10"/>
      <c r="O94" s="5" t="s">
        <v>180</v>
      </c>
      <c r="P94" s="10"/>
      <c r="Q94" s="10"/>
      <c r="R94" s="10"/>
      <c r="S94" s="10"/>
      <c r="U94" s="10"/>
      <c r="V94" s="10"/>
      <c r="W94" s="10"/>
      <c r="X94" s="18">
        <f t="shared" ca="1" si="19"/>
        <v>0</v>
      </c>
      <c r="Y94" s="18">
        <f t="shared" ca="1" si="20"/>
        <v>0</v>
      </c>
      <c r="Z94" s="18">
        <f t="shared" ca="1" si="21"/>
        <v>0</v>
      </c>
      <c r="AA94" s="18">
        <f t="shared" ca="1" si="22"/>
        <v>0</v>
      </c>
      <c r="AB94" s="18">
        <f t="shared" ca="1" si="23"/>
        <v>0</v>
      </c>
      <c r="AC94" s="18">
        <f t="shared" ca="1" si="24"/>
        <v>0</v>
      </c>
      <c r="AD94" s="18">
        <f t="shared" ca="1" si="25"/>
        <v>0</v>
      </c>
    </row>
    <row r="95" spans="1:30" ht="75">
      <c r="A95" s="38" t="s">
        <v>168</v>
      </c>
      <c r="B95" s="8" t="s">
        <v>126</v>
      </c>
      <c r="C95" s="16"/>
      <c r="D95" s="17"/>
      <c r="E95" s="2"/>
      <c r="F95" s="2"/>
      <c r="G95" s="2"/>
      <c r="H95" s="2"/>
      <c r="I95" s="2"/>
      <c r="J95" s="17"/>
      <c r="K95" s="1">
        <f t="shared" si="18"/>
        <v>0</v>
      </c>
      <c r="L95" s="8" t="s">
        <v>181</v>
      </c>
      <c r="M95" s="3"/>
      <c r="N95" s="10"/>
      <c r="O95" s="5" t="s">
        <v>180</v>
      </c>
      <c r="P95" s="10"/>
      <c r="Q95" s="10"/>
      <c r="R95" s="10"/>
      <c r="S95" s="10"/>
      <c r="U95" s="10"/>
      <c r="V95" s="10"/>
      <c r="W95" s="10"/>
      <c r="X95" s="18">
        <f t="shared" ca="1" si="19"/>
        <v>0</v>
      </c>
      <c r="Y95" s="18">
        <f t="shared" ca="1" si="20"/>
        <v>0</v>
      </c>
      <c r="Z95" s="18">
        <f t="shared" ca="1" si="21"/>
        <v>0</v>
      </c>
      <c r="AA95" s="18">
        <f t="shared" ca="1" si="22"/>
        <v>0</v>
      </c>
      <c r="AB95" s="18">
        <f t="shared" ca="1" si="23"/>
        <v>0</v>
      </c>
      <c r="AC95" s="18">
        <f t="shared" ca="1" si="24"/>
        <v>0</v>
      </c>
      <c r="AD95" s="18">
        <f t="shared" ca="1" si="25"/>
        <v>0</v>
      </c>
    </row>
    <row r="96" spans="1:30" ht="75">
      <c r="A96" s="38" t="s">
        <v>168</v>
      </c>
      <c r="B96" s="8" t="s">
        <v>127</v>
      </c>
      <c r="C96" s="16"/>
      <c r="D96" s="17"/>
      <c r="E96" s="2"/>
      <c r="F96" s="2"/>
      <c r="G96" s="2"/>
      <c r="H96" s="2"/>
      <c r="I96" s="2"/>
      <c r="J96" s="17"/>
      <c r="K96" s="1">
        <f t="shared" si="18"/>
        <v>0</v>
      </c>
      <c r="L96" s="8" t="s">
        <v>181</v>
      </c>
      <c r="M96" s="3"/>
      <c r="N96" s="10"/>
      <c r="O96" s="5" t="s">
        <v>180</v>
      </c>
      <c r="P96" s="10"/>
      <c r="Q96" s="10"/>
      <c r="R96" s="10"/>
      <c r="S96" s="10"/>
      <c r="U96" s="10"/>
      <c r="V96" s="10"/>
      <c r="W96" s="10"/>
      <c r="X96" s="18">
        <f t="shared" ca="1" si="19"/>
        <v>0</v>
      </c>
      <c r="Y96" s="18">
        <f t="shared" ca="1" si="20"/>
        <v>0</v>
      </c>
      <c r="Z96" s="18">
        <f t="shared" ca="1" si="21"/>
        <v>0</v>
      </c>
      <c r="AA96" s="18">
        <f t="shared" ca="1" si="22"/>
        <v>0</v>
      </c>
      <c r="AB96" s="18">
        <f t="shared" ca="1" si="23"/>
        <v>0</v>
      </c>
      <c r="AC96" s="18">
        <f t="shared" ca="1" si="24"/>
        <v>0</v>
      </c>
      <c r="AD96" s="18">
        <f t="shared" ca="1" si="25"/>
        <v>0</v>
      </c>
    </row>
    <row r="97" spans="1:30" ht="75">
      <c r="A97" s="38" t="s">
        <v>168</v>
      </c>
      <c r="B97" s="8" t="s">
        <v>128</v>
      </c>
      <c r="C97" s="16"/>
      <c r="D97" s="17"/>
      <c r="E97" s="2"/>
      <c r="F97" s="2"/>
      <c r="G97" s="2"/>
      <c r="H97" s="2"/>
      <c r="I97" s="2"/>
      <c r="J97" s="17"/>
      <c r="K97" s="1">
        <f t="shared" si="18"/>
        <v>0</v>
      </c>
      <c r="L97" s="8" t="s">
        <v>181</v>
      </c>
      <c r="M97" s="3"/>
      <c r="N97" s="10"/>
      <c r="O97" s="5" t="s">
        <v>180</v>
      </c>
      <c r="P97" s="10"/>
      <c r="Q97" s="10"/>
      <c r="R97" s="10"/>
      <c r="S97" s="10"/>
      <c r="U97" s="10"/>
      <c r="V97" s="10"/>
      <c r="W97" s="10"/>
      <c r="X97" s="18">
        <f t="shared" ca="1" si="19"/>
        <v>0</v>
      </c>
      <c r="Y97" s="18">
        <f t="shared" ca="1" si="20"/>
        <v>0</v>
      </c>
      <c r="Z97" s="18">
        <f t="shared" ca="1" si="21"/>
        <v>0</v>
      </c>
      <c r="AA97" s="18">
        <f t="shared" ca="1" si="22"/>
        <v>0</v>
      </c>
      <c r="AB97" s="18">
        <f t="shared" ca="1" si="23"/>
        <v>0</v>
      </c>
      <c r="AC97" s="18">
        <f t="shared" ca="1" si="24"/>
        <v>0</v>
      </c>
      <c r="AD97" s="18">
        <f t="shared" ca="1" si="25"/>
        <v>0</v>
      </c>
    </row>
    <row r="98" spans="1:30" ht="75">
      <c r="A98" s="38" t="s">
        <v>168</v>
      </c>
      <c r="B98" s="8" t="s">
        <v>129</v>
      </c>
      <c r="C98" s="16"/>
      <c r="D98" s="17"/>
      <c r="E98" s="2"/>
      <c r="F98" s="2"/>
      <c r="G98" s="2"/>
      <c r="H98" s="2"/>
      <c r="I98" s="2"/>
      <c r="J98" s="17"/>
      <c r="K98" s="1">
        <f t="shared" si="18"/>
        <v>0</v>
      </c>
      <c r="L98" s="8" t="s">
        <v>181</v>
      </c>
      <c r="M98" s="3"/>
      <c r="N98" s="10"/>
      <c r="O98" s="5" t="s">
        <v>180</v>
      </c>
      <c r="P98" s="10"/>
      <c r="Q98" s="10"/>
      <c r="R98" s="10"/>
      <c r="S98" s="10"/>
      <c r="U98" s="10"/>
      <c r="V98" s="10"/>
      <c r="W98" s="10"/>
      <c r="X98" s="18">
        <f t="shared" ca="1" si="19"/>
        <v>0</v>
      </c>
      <c r="Y98" s="18">
        <f t="shared" ca="1" si="20"/>
        <v>0</v>
      </c>
      <c r="Z98" s="18">
        <f t="shared" ca="1" si="21"/>
        <v>0</v>
      </c>
      <c r="AA98" s="18">
        <f t="shared" ca="1" si="22"/>
        <v>0</v>
      </c>
      <c r="AB98" s="18">
        <f t="shared" ca="1" si="23"/>
        <v>0</v>
      </c>
      <c r="AC98" s="18">
        <f t="shared" ca="1" si="24"/>
        <v>0</v>
      </c>
      <c r="AD98" s="18">
        <f t="shared" ca="1" si="25"/>
        <v>0</v>
      </c>
    </row>
    <row r="99" spans="1:30" ht="75">
      <c r="A99" s="38" t="s">
        <v>168</v>
      </c>
      <c r="B99" s="8" t="s">
        <v>130</v>
      </c>
      <c r="C99" s="16"/>
      <c r="D99" s="17"/>
      <c r="E99" s="2"/>
      <c r="F99" s="2"/>
      <c r="G99" s="2"/>
      <c r="H99" s="2"/>
      <c r="I99" s="2"/>
      <c r="J99" s="17"/>
      <c r="K99" s="1">
        <f t="shared" si="18"/>
        <v>0</v>
      </c>
      <c r="L99" s="8" t="s">
        <v>181</v>
      </c>
      <c r="M99" s="3"/>
      <c r="N99" s="10"/>
      <c r="O99" s="5" t="s">
        <v>180</v>
      </c>
      <c r="P99" s="10"/>
      <c r="Q99" s="10"/>
      <c r="R99" s="10"/>
      <c r="S99" s="10"/>
      <c r="U99" s="10"/>
      <c r="V99" s="10"/>
      <c r="W99" s="10"/>
      <c r="X99" s="18">
        <f t="shared" ca="1" si="19"/>
        <v>0</v>
      </c>
      <c r="Y99" s="18">
        <f t="shared" ca="1" si="20"/>
        <v>0</v>
      </c>
      <c r="Z99" s="18">
        <f t="shared" ca="1" si="21"/>
        <v>0</v>
      </c>
      <c r="AA99" s="18">
        <f t="shared" ca="1" si="22"/>
        <v>0</v>
      </c>
      <c r="AB99" s="18">
        <f t="shared" ca="1" si="23"/>
        <v>0</v>
      </c>
      <c r="AC99" s="18">
        <f t="shared" ca="1" si="24"/>
        <v>0</v>
      </c>
      <c r="AD99" s="18">
        <f t="shared" ca="1" si="25"/>
        <v>0</v>
      </c>
    </row>
    <row r="100" spans="1:30" ht="75">
      <c r="A100" s="38" t="s">
        <v>168</v>
      </c>
      <c r="B100" s="8" t="s">
        <v>131</v>
      </c>
      <c r="C100" s="16"/>
      <c r="D100" s="17"/>
      <c r="E100" s="2"/>
      <c r="F100" s="2"/>
      <c r="G100" s="2"/>
      <c r="H100" s="2"/>
      <c r="I100" s="2"/>
      <c r="J100" s="17"/>
      <c r="K100" s="1">
        <f t="shared" si="18"/>
        <v>0</v>
      </c>
      <c r="L100" s="8" t="s">
        <v>181</v>
      </c>
      <c r="M100" s="3"/>
      <c r="N100" s="10"/>
      <c r="O100" s="5" t="s">
        <v>180</v>
      </c>
      <c r="P100" s="10"/>
      <c r="Q100" s="10"/>
      <c r="R100" s="10"/>
      <c r="S100" s="10"/>
      <c r="U100" s="10"/>
      <c r="V100" s="10"/>
      <c r="W100" s="10"/>
      <c r="X100" s="18">
        <f t="shared" ca="1" si="19"/>
        <v>0</v>
      </c>
      <c r="Y100" s="18">
        <f t="shared" ca="1" si="20"/>
        <v>0</v>
      </c>
      <c r="Z100" s="18">
        <f t="shared" ca="1" si="21"/>
        <v>0</v>
      </c>
      <c r="AA100" s="18">
        <f t="shared" ca="1" si="22"/>
        <v>0</v>
      </c>
      <c r="AB100" s="18">
        <f t="shared" ca="1" si="23"/>
        <v>0</v>
      </c>
      <c r="AC100" s="18">
        <f t="shared" ca="1" si="24"/>
        <v>0</v>
      </c>
      <c r="AD100" s="18">
        <f t="shared" ca="1" si="25"/>
        <v>0</v>
      </c>
    </row>
    <row r="101" spans="1:30" ht="75">
      <c r="A101" s="38" t="s">
        <v>168</v>
      </c>
      <c r="B101" s="8" t="s">
        <v>132</v>
      </c>
      <c r="C101" s="16"/>
      <c r="D101" s="17"/>
      <c r="E101" s="2"/>
      <c r="F101" s="2"/>
      <c r="G101" s="2"/>
      <c r="H101" s="2"/>
      <c r="I101" s="2"/>
      <c r="J101" s="17"/>
      <c r="K101" s="1">
        <f t="shared" si="18"/>
        <v>0</v>
      </c>
      <c r="L101" s="8" t="s">
        <v>181</v>
      </c>
      <c r="M101" s="3"/>
      <c r="N101" s="10"/>
      <c r="O101" s="5" t="s">
        <v>180</v>
      </c>
      <c r="P101" s="10"/>
      <c r="Q101" s="10"/>
      <c r="R101" s="10"/>
      <c r="S101" s="10"/>
      <c r="U101" s="10"/>
      <c r="V101" s="10"/>
      <c r="W101" s="10"/>
      <c r="X101" s="18">
        <f t="shared" ca="1" si="19"/>
        <v>0</v>
      </c>
      <c r="Y101" s="18">
        <f t="shared" ca="1" si="20"/>
        <v>0</v>
      </c>
      <c r="Z101" s="18">
        <f t="shared" ca="1" si="21"/>
        <v>0</v>
      </c>
      <c r="AA101" s="18">
        <f t="shared" ca="1" si="22"/>
        <v>0</v>
      </c>
      <c r="AB101" s="18">
        <f t="shared" ca="1" si="23"/>
        <v>0</v>
      </c>
      <c r="AC101" s="18">
        <f t="shared" ca="1" si="24"/>
        <v>0</v>
      </c>
      <c r="AD101" s="18">
        <f t="shared" ca="1" si="25"/>
        <v>0</v>
      </c>
    </row>
    <row r="102" spans="1:30" ht="75">
      <c r="A102" s="38" t="s">
        <v>168</v>
      </c>
      <c r="B102" s="8" t="s">
        <v>133</v>
      </c>
      <c r="C102" s="16"/>
      <c r="D102" s="17"/>
      <c r="E102" s="2"/>
      <c r="F102" s="2"/>
      <c r="G102" s="2"/>
      <c r="H102" s="2"/>
      <c r="I102" s="2"/>
      <c r="J102" s="17"/>
      <c r="K102" s="1">
        <f t="shared" si="18"/>
        <v>0</v>
      </c>
      <c r="L102" s="8" t="s">
        <v>181</v>
      </c>
      <c r="M102" s="3"/>
      <c r="N102" s="10"/>
      <c r="O102" s="5" t="s">
        <v>180</v>
      </c>
      <c r="P102" s="10"/>
      <c r="Q102" s="10"/>
      <c r="R102" s="10"/>
      <c r="S102" s="10"/>
      <c r="U102" s="10"/>
      <c r="V102" s="10"/>
      <c r="W102" s="10"/>
      <c r="X102" s="18">
        <f t="shared" ca="1" si="19"/>
        <v>0</v>
      </c>
      <c r="Y102" s="18">
        <f t="shared" ca="1" si="20"/>
        <v>0</v>
      </c>
      <c r="Z102" s="18">
        <f t="shared" ca="1" si="21"/>
        <v>0</v>
      </c>
      <c r="AA102" s="18">
        <f t="shared" ca="1" si="22"/>
        <v>0</v>
      </c>
      <c r="AB102" s="18">
        <f t="shared" ca="1" si="23"/>
        <v>0</v>
      </c>
      <c r="AC102" s="18">
        <f t="shared" ca="1" si="24"/>
        <v>0</v>
      </c>
      <c r="AD102" s="18">
        <f t="shared" ca="1" si="25"/>
        <v>0</v>
      </c>
    </row>
    <row r="103" spans="1:30" ht="75">
      <c r="A103" s="38" t="s">
        <v>168</v>
      </c>
      <c r="B103" s="8" t="s">
        <v>134</v>
      </c>
      <c r="C103" s="16"/>
      <c r="D103" s="17"/>
      <c r="E103" s="2"/>
      <c r="F103" s="2"/>
      <c r="G103" s="2"/>
      <c r="H103" s="2"/>
      <c r="I103" s="2"/>
      <c r="J103" s="17"/>
      <c r="K103" s="1">
        <f t="shared" si="18"/>
        <v>0</v>
      </c>
      <c r="L103" s="8" t="s">
        <v>181</v>
      </c>
      <c r="M103" s="3"/>
      <c r="N103" s="10"/>
      <c r="O103" s="5" t="s">
        <v>180</v>
      </c>
      <c r="P103" s="10"/>
      <c r="Q103" s="10"/>
      <c r="R103" s="10"/>
      <c r="S103" s="10"/>
      <c r="U103" s="10"/>
      <c r="V103" s="10"/>
      <c r="W103" s="10"/>
      <c r="X103" s="18">
        <f t="shared" ca="1" si="19"/>
        <v>0</v>
      </c>
      <c r="Y103" s="18">
        <f t="shared" ca="1" si="20"/>
        <v>0</v>
      </c>
      <c r="Z103" s="18">
        <f t="shared" ca="1" si="21"/>
        <v>0</v>
      </c>
      <c r="AA103" s="18">
        <f t="shared" ca="1" si="22"/>
        <v>0</v>
      </c>
      <c r="AB103" s="18">
        <f t="shared" ca="1" si="23"/>
        <v>0</v>
      </c>
      <c r="AC103" s="18">
        <f t="shared" ca="1" si="24"/>
        <v>0</v>
      </c>
      <c r="AD103" s="18">
        <f t="shared" ca="1" si="25"/>
        <v>0</v>
      </c>
    </row>
    <row r="104" spans="1:30" ht="75">
      <c r="A104" s="38" t="s">
        <v>168</v>
      </c>
      <c r="B104" s="8" t="s">
        <v>135</v>
      </c>
      <c r="C104" s="16"/>
      <c r="D104" s="17"/>
      <c r="E104" s="2"/>
      <c r="F104" s="2"/>
      <c r="G104" s="2"/>
      <c r="H104" s="2"/>
      <c r="I104" s="2"/>
      <c r="J104" s="17"/>
      <c r="K104" s="1">
        <f t="shared" si="18"/>
        <v>0</v>
      </c>
      <c r="L104" s="8" t="s">
        <v>181</v>
      </c>
      <c r="M104" s="3"/>
      <c r="N104" s="10"/>
      <c r="O104" s="5" t="s">
        <v>180</v>
      </c>
      <c r="P104" s="10"/>
      <c r="Q104" s="10"/>
      <c r="R104" s="10"/>
      <c r="S104" s="10"/>
      <c r="U104" s="10"/>
      <c r="V104" s="10"/>
      <c r="W104" s="10"/>
      <c r="X104" s="18">
        <f t="shared" ca="1" si="19"/>
        <v>0</v>
      </c>
      <c r="Y104" s="18">
        <f t="shared" ca="1" si="20"/>
        <v>0</v>
      </c>
      <c r="Z104" s="18">
        <f t="shared" ca="1" si="21"/>
        <v>0</v>
      </c>
      <c r="AA104" s="18">
        <f t="shared" ca="1" si="22"/>
        <v>0</v>
      </c>
      <c r="AB104" s="18">
        <f t="shared" ca="1" si="23"/>
        <v>0</v>
      </c>
      <c r="AC104" s="18">
        <f t="shared" ca="1" si="24"/>
        <v>0</v>
      </c>
      <c r="AD104" s="18">
        <f t="shared" ca="1" si="25"/>
        <v>0</v>
      </c>
    </row>
    <row r="105" spans="1:30" ht="75">
      <c r="A105" s="38" t="s">
        <v>168</v>
      </c>
      <c r="B105" s="8" t="s">
        <v>136</v>
      </c>
      <c r="C105" s="16"/>
      <c r="D105" s="17"/>
      <c r="E105" s="2"/>
      <c r="F105" s="2"/>
      <c r="G105" s="2"/>
      <c r="H105" s="2"/>
      <c r="I105" s="2"/>
      <c r="J105" s="17"/>
      <c r="K105" s="1">
        <f t="shared" si="18"/>
        <v>0</v>
      </c>
      <c r="L105" s="8" t="s">
        <v>181</v>
      </c>
      <c r="M105" s="3"/>
      <c r="N105" s="10"/>
      <c r="O105" s="5" t="s">
        <v>180</v>
      </c>
      <c r="P105" s="10"/>
      <c r="Q105" s="10"/>
      <c r="R105" s="10"/>
      <c r="S105" s="10"/>
      <c r="U105" s="10"/>
      <c r="V105" s="10"/>
      <c r="W105" s="10"/>
      <c r="X105" s="18">
        <f t="shared" ca="1" si="19"/>
        <v>0</v>
      </c>
      <c r="Y105" s="18">
        <f t="shared" ca="1" si="20"/>
        <v>0</v>
      </c>
      <c r="Z105" s="18">
        <f t="shared" ca="1" si="21"/>
        <v>0</v>
      </c>
      <c r="AA105" s="18">
        <f t="shared" ca="1" si="22"/>
        <v>0</v>
      </c>
      <c r="AB105" s="18">
        <f t="shared" ca="1" si="23"/>
        <v>0</v>
      </c>
      <c r="AC105" s="18">
        <f t="shared" ca="1" si="24"/>
        <v>0</v>
      </c>
      <c r="AD105" s="18">
        <f t="shared" ca="1" si="25"/>
        <v>0</v>
      </c>
    </row>
    <row r="106" spans="1:30" ht="75">
      <c r="A106" s="38" t="s">
        <v>168</v>
      </c>
      <c r="B106" s="8" t="s">
        <v>137</v>
      </c>
      <c r="C106" s="16"/>
      <c r="D106" s="17"/>
      <c r="E106" s="2"/>
      <c r="F106" s="2"/>
      <c r="G106" s="2"/>
      <c r="H106" s="2"/>
      <c r="I106" s="2"/>
      <c r="J106" s="17"/>
      <c r="K106" s="1">
        <f t="shared" si="18"/>
        <v>0</v>
      </c>
      <c r="L106" s="8" t="s">
        <v>181</v>
      </c>
      <c r="M106" s="3"/>
      <c r="N106" s="10"/>
      <c r="O106" s="5" t="s">
        <v>180</v>
      </c>
      <c r="P106" s="10"/>
      <c r="Q106" s="10"/>
      <c r="R106" s="10"/>
      <c r="S106" s="10"/>
      <c r="U106" s="10"/>
      <c r="V106" s="10"/>
      <c r="W106" s="10"/>
      <c r="X106" s="18">
        <f t="shared" ca="1" si="19"/>
        <v>0</v>
      </c>
      <c r="Y106" s="18">
        <f t="shared" ca="1" si="20"/>
        <v>0</v>
      </c>
      <c r="Z106" s="18">
        <f t="shared" ca="1" si="21"/>
        <v>0</v>
      </c>
      <c r="AA106" s="18">
        <f t="shared" ca="1" si="22"/>
        <v>0</v>
      </c>
      <c r="AB106" s="18">
        <f t="shared" ca="1" si="23"/>
        <v>0</v>
      </c>
      <c r="AC106" s="18">
        <f t="shared" ca="1" si="24"/>
        <v>0</v>
      </c>
      <c r="AD106" s="18">
        <f t="shared" ca="1" si="25"/>
        <v>0</v>
      </c>
    </row>
    <row r="107" spans="1:30" ht="75">
      <c r="A107" s="38" t="s">
        <v>168</v>
      </c>
      <c r="B107" s="8" t="s">
        <v>138</v>
      </c>
      <c r="C107" s="16"/>
      <c r="D107" s="17"/>
      <c r="E107" s="2"/>
      <c r="F107" s="2"/>
      <c r="G107" s="2"/>
      <c r="H107" s="2"/>
      <c r="I107" s="2"/>
      <c r="J107" s="17"/>
      <c r="K107" s="1">
        <f t="shared" si="18"/>
        <v>0</v>
      </c>
      <c r="L107" s="8" t="s">
        <v>181</v>
      </c>
      <c r="M107" s="3"/>
      <c r="N107" s="10"/>
      <c r="O107" s="5" t="s">
        <v>180</v>
      </c>
      <c r="P107" s="10"/>
      <c r="Q107" s="10"/>
      <c r="R107" s="10"/>
      <c r="S107" s="10"/>
      <c r="U107" s="10"/>
      <c r="V107" s="10"/>
      <c r="W107" s="10"/>
      <c r="X107" s="18">
        <f t="shared" ca="1" si="19"/>
        <v>0</v>
      </c>
      <c r="Y107" s="18">
        <f t="shared" ca="1" si="20"/>
        <v>0</v>
      </c>
      <c r="Z107" s="18">
        <f t="shared" ca="1" si="21"/>
        <v>0</v>
      </c>
      <c r="AA107" s="18">
        <f t="shared" ca="1" si="22"/>
        <v>0</v>
      </c>
      <c r="AB107" s="18">
        <f t="shared" ca="1" si="23"/>
        <v>0</v>
      </c>
      <c r="AC107" s="18">
        <f t="shared" ca="1" si="24"/>
        <v>0</v>
      </c>
      <c r="AD107" s="18">
        <f t="shared" ca="1" si="25"/>
        <v>0</v>
      </c>
    </row>
    <row r="108" spans="1:30" ht="75">
      <c r="A108" s="38" t="s">
        <v>168</v>
      </c>
      <c r="B108" s="8" t="s">
        <v>139</v>
      </c>
      <c r="C108" s="16"/>
      <c r="D108" s="17"/>
      <c r="E108" s="2"/>
      <c r="F108" s="2"/>
      <c r="G108" s="2"/>
      <c r="H108" s="2"/>
      <c r="I108" s="2"/>
      <c r="J108" s="17"/>
      <c r="K108" s="1">
        <f t="shared" si="18"/>
        <v>0</v>
      </c>
      <c r="L108" s="8" t="s">
        <v>181</v>
      </c>
      <c r="M108" s="3"/>
      <c r="N108" s="10"/>
      <c r="O108" s="5" t="s">
        <v>180</v>
      </c>
      <c r="P108" s="10"/>
      <c r="Q108" s="10"/>
      <c r="R108" s="10"/>
      <c r="S108" s="10"/>
      <c r="U108" s="10"/>
      <c r="V108" s="10"/>
      <c r="W108" s="10"/>
      <c r="X108" s="18">
        <f t="shared" ca="1" si="19"/>
        <v>0</v>
      </c>
      <c r="Y108" s="18">
        <f t="shared" ca="1" si="20"/>
        <v>0</v>
      </c>
      <c r="Z108" s="18">
        <f t="shared" ca="1" si="21"/>
        <v>0</v>
      </c>
      <c r="AA108" s="18">
        <f t="shared" ca="1" si="22"/>
        <v>0</v>
      </c>
      <c r="AB108" s="18">
        <f t="shared" ca="1" si="23"/>
        <v>0</v>
      </c>
      <c r="AC108" s="18">
        <f t="shared" ca="1" si="24"/>
        <v>0</v>
      </c>
      <c r="AD108" s="18">
        <f t="shared" ca="1" si="25"/>
        <v>0</v>
      </c>
    </row>
    <row r="109" spans="1:30" ht="75">
      <c r="A109" s="38" t="s">
        <v>168</v>
      </c>
      <c r="B109" s="8" t="s">
        <v>140</v>
      </c>
      <c r="C109" s="16"/>
      <c r="D109" s="17"/>
      <c r="E109" s="2"/>
      <c r="F109" s="2"/>
      <c r="G109" s="2"/>
      <c r="H109" s="2"/>
      <c r="I109" s="2"/>
      <c r="J109" s="17"/>
      <c r="K109" s="1">
        <f t="shared" si="18"/>
        <v>0</v>
      </c>
      <c r="L109" s="8" t="s">
        <v>181</v>
      </c>
      <c r="M109" s="3"/>
      <c r="N109" s="10"/>
      <c r="O109" s="5" t="s">
        <v>180</v>
      </c>
      <c r="P109" s="10"/>
      <c r="Q109" s="10"/>
      <c r="R109" s="10"/>
      <c r="S109" s="10"/>
      <c r="U109" s="10"/>
      <c r="V109" s="10"/>
      <c r="W109" s="10"/>
      <c r="X109" s="18">
        <f t="shared" ca="1" si="19"/>
        <v>0</v>
      </c>
      <c r="Y109" s="18">
        <f t="shared" ca="1" si="20"/>
        <v>0</v>
      </c>
      <c r="Z109" s="18">
        <f t="shared" ca="1" si="21"/>
        <v>0</v>
      </c>
      <c r="AA109" s="18">
        <f t="shared" ca="1" si="22"/>
        <v>0</v>
      </c>
      <c r="AB109" s="18">
        <f t="shared" ca="1" si="23"/>
        <v>0</v>
      </c>
      <c r="AC109" s="18">
        <f t="shared" ca="1" si="24"/>
        <v>0</v>
      </c>
      <c r="AD109" s="18">
        <f t="shared" ca="1" si="25"/>
        <v>0</v>
      </c>
    </row>
    <row r="110" spans="1:30" ht="75">
      <c r="A110" s="38" t="s">
        <v>168</v>
      </c>
      <c r="B110" s="8" t="s">
        <v>178</v>
      </c>
      <c r="C110" s="16"/>
      <c r="D110" s="17"/>
      <c r="E110" s="2"/>
      <c r="F110" s="2"/>
      <c r="G110" s="2"/>
      <c r="H110" s="2"/>
      <c r="I110" s="2"/>
      <c r="J110" s="17"/>
      <c r="K110" s="1">
        <f t="shared" si="18"/>
        <v>0</v>
      </c>
      <c r="L110" s="8" t="s">
        <v>181</v>
      </c>
      <c r="M110" s="3"/>
      <c r="N110" s="10"/>
      <c r="O110" s="5" t="s">
        <v>180</v>
      </c>
      <c r="P110" s="10"/>
      <c r="Q110" s="10"/>
      <c r="R110" s="10"/>
      <c r="S110" s="10"/>
      <c r="U110" s="10"/>
      <c r="V110" s="10"/>
      <c r="W110" s="10"/>
      <c r="X110" s="18">
        <f t="shared" ca="1" si="19"/>
        <v>0</v>
      </c>
      <c r="Y110" s="18">
        <f t="shared" ca="1" si="20"/>
        <v>0</v>
      </c>
      <c r="Z110" s="18">
        <f t="shared" ca="1" si="21"/>
        <v>0</v>
      </c>
      <c r="AA110" s="18">
        <f t="shared" ca="1" si="22"/>
        <v>0</v>
      </c>
      <c r="AB110" s="18">
        <f t="shared" ca="1" si="23"/>
        <v>0</v>
      </c>
      <c r="AC110" s="18">
        <f t="shared" ca="1" si="24"/>
        <v>0</v>
      </c>
      <c r="AD110" s="18">
        <f t="shared" ca="1" si="25"/>
        <v>0</v>
      </c>
    </row>
    <row r="111" spans="1:30" ht="75">
      <c r="A111" s="38" t="s">
        <v>110</v>
      </c>
      <c r="B111" s="8" t="s">
        <v>117</v>
      </c>
      <c r="C111" s="16"/>
      <c r="D111" s="17"/>
      <c r="E111" s="2"/>
      <c r="F111" s="2"/>
      <c r="G111" s="2"/>
      <c r="H111" s="2"/>
      <c r="I111" s="2"/>
      <c r="J111" s="17"/>
      <c r="K111" s="1">
        <f t="shared" si="18"/>
        <v>0</v>
      </c>
      <c r="L111" s="8" t="s">
        <v>181</v>
      </c>
      <c r="M111" s="3"/>
      <c r="N111" s="10"/>
      <c r="O111" s="5" t="s">
        <v>180</v>
      </c>
      <c r="P111" s="10"/>
      <c r="Q111" s="10"/>
      <c r="R111" s="10"/>
      <c r="S111" s="10"/>
      <c r="U111" s="10"/>
      <c r="V111" s="10"/>
      <c r="W111" s="10"/>
      <c r="X111" s="18">
        <f t="shared" ca="1" si="19"/>
        <v>0</v>
      </c>
      <c r="Y111" s="18">
        <f t="shared" ca="1" si="20"/>
        <v>0</v>
      </c>
      <c r="Z111" s="18">
        <f t="shared" ca="1" si="21"/>
        <v>0</v>
      </c>
      <c r="AA111" s="18">
        <f t="shared" ca="1" si="22"/>
        <v>0</v>
      </c>
      <c r="AB111" s="18">
        <f t="shared" ca="1" si="23"/>
        <v>0</v>
      </c>
      <c r="AC111" s="18">
        <f t="shared" ca="1" si="24"/>
        <v>0</v>
      </c>
      <c r="AD111" s="18">
        <f t="shared" ca="1" si="25"/>
        <v>0</v>
      </c>
    </row>
    <row r="112" spans="1:30" ht="75">
      <c r="A112" s="43" t="s">
        <v>110</v>
      </c>
      <c r="B112" s="8" t="s">
        <v>118</v>
      </c>
      <c r="C112" s="16"/>
      <c r="D112" s="17"/>
      <c r="E112" s="2"/>
      <c r="F112" s="2"/>
      <c r="G112" s="2"/>
      <c r="H112" s="2"/>
      <c r="I112" s="2"/>
      <c r="J112" s="17"/>
      <c r="K112" s="1">
        <f t="shared" si="18"/>
        <v>0</v>
      </c>
      <c r="L112" s="8" t="s">
        <v>181</v>
      </c>
      <c r="M112" s="3"/>
      <c r="N112" s="10"/>
      <c r="O112" s="5" t="s">
        <v>180</v>
      </c>
      <c r="P112" s="10"/>
      <c r="Q112" s="10"/>
      <c r="R112" s="10"/>
      <c r="S112" s="10"/>
      <c r="U112" s="10"/>
      <c r="V112" s="10"/>
      <c r="W112" s="10"/>
      <c r="X112" s="18">
        <f t="shared" ca="1" si="19"/>
        <v>0</v>
      </c>
      <c r="Y112" s="18">
        <f t="shared" ca="1" si="20"/>
        <v>0</v>
      </c>
      <c r="Z112" s="18">
        <f t="shared" ca="1" si="21"/>
        <v>0</v>
      </c>
      <c r="AA112" s="18">
        <f t="shared" ca="1" si="22"/>
        <v>0</v>
      </c>
      <c r="AB112" s="18">
        <f t="shared" ca="1" si="23"/>
        <v>0</v>
      </c>
      <c r="AC112" s="18">
        <f t="shared" ca="1" si="24"/>
        <v>0</v>
      </c>
      <c r="AD112" s="18">
        <f t="shared" ca="1" si="25"/>
        <v>0</v>
      </c>
    </row>
    <row r="113" spans="1:31" ht="75">
      <c r="A113" s="38" t="s">
        <v>110</v>
      </c>
      <c r="B113" s="8" t="s">
        <v>119</v>
      </c>
      <c r="C113" s="16"/>
      <c r="D113" s="17"/>
      <c r="E113" s="2"/>
      <c r="F113" s="2"/>
      <c r="G113" s="2"/>
      <c r="H113" s="2"/>
      <c r="I113" s="2"/>
      <c r="J113" s="17"/>
      <c r="K113" s="1">
        <f t="shared" si="18"/>
        <v>0</v>
      </c>
      <c r="L113" s="8" t="s">
        <v>181</v>
      </c>
      <c r="M113" s="3"/>
      <c r="N113" s="10"/>
      <c r="O113" s="5" t="s">
        <v>180</v>
      </c>
      <c r="P113" s="10"/>
      <c r="Q113" s="10"/>
      <c r="R113" s="10"/>
      <c r="S113" s="10"/>
      <c r="U113" s="10"/>
      <c r="V113" s="10"/>
      <c r="W113" s="10"/>
      <c r="X113" s="18">
        <f t="shared" ca="1" si="19"/>
        <v>0</v>
      </c>
      <c r="Y113" s="18">
        <f t="shared" ca="1" si="20"/>
        <v>0</v>
      </c>
      <c r="Z113" s="18">
        <f t="shared" ca="1" si="21"/>
        <v>0</v>
      </c>
      <c r="AA113" s="18">
        <f t="shared" ca="1" si="22"/>
        <v>0</v>
      </c>
      <c r="AB113" s="18">
        <f t="shared" ca="1" si="23"/>
        <v>0</v>
      </c>
      <c r="AC113" s="18">
        <f t="shared" ca="1" si="24"/>
        <v>0</v>
      </c>
      <c r="AD113" s="18">
        <f t="shared" ca="1" si="25"/>
        <v>0</v>
      </c>
    </row>
    <row r="114" spans="1:31" ht="75">
      <c r="A114" s="38" t="s">
        <v>110</v>
      </c>
      <c r="B114" s="8" t="s">
        <v>120</v>
      </c>
      <c r="C114" s="16"/>
      <c r="D114" s="17"/>
      <c r="E114" s="2"/>
      <c r="F114" s="2"/>
      <c r="G114" s="2"/>
      <c r="H114" s="2"/>
      <c r="I114" s="2"/>
      <c r="J114" s="17"/>
      <c r="K114" s="1">
        <f t="shared" si="18"/>
        <v>0</v>
      </c>
      <c r="L114" s="8" t="s">
        <v>181</v>
      </c>
      <c r="M114" s="3"/>
      <c r="N114" s="10"/>
      <c r="O114" s="5" t="s">
        <v>180</v>
      </c>
      <c r="P114" s="10"/>
      <c r="Q114" s="10"/>
      <c r="R114" s="10"/>
      <c r="S114" s="10"/>
      <c r="U114" s="10"/>
      <c r="V114" s="10"/>
      <c r="W114" s="10"/>
      <c r="X114" s="18">
        <f t="shared" ca="1" si="19"/>
        <v>0</v>
      </c>
      <c r="Y114" s="18">
        <f t="shared" ca="1" si="20"/>
        <v>0</v>
      </c>
      <c r="Z114" s="18">
        <f t="shared" ca="1" si="21"/>
        <v>0</v>
      </c>
      <c r="AA114" s="18">
        <f t="shared" ca="1" si="22"/>
        <v>0</v>
      </c>
      <c r="AB114" s="18">
        <f t="shared" ca="1" si="23"/>
        <v>0</v>
      </c>
      <c r="AC114" s="18">
        <f t="shared" ca="1" si="24"/>
        <v>0</v>
      </c>
      <c r="AD114" s="18">
        <f t="shared" ca="1" si="25"/>
        <v>0</v>
      </c>
    </row>
    <row r="115" spans="1:31" ht="75">
      <c r="A115" s="38" t="s">
        <v>110</v>
      </c>
      <c r="B115" s="8" t="s">
        <v>121</v>
      </c>
      <c r="C115" s="16"/>
      <c r="D115" s="17"/>
      <c r="E115" s="2"/>
      <c r="F115" s="2"/>
      <c r="G115" s="2"/>
      <c r="H115" s="2"/>
      <c r="I115" s="2"/>
      <c r="J115" s="17"/>
      <c r="K115" s="1">
        <f t="shared" si="18"/>
        <v>0</v>
      </c>
      <c r="L115" s="8" t="s">
        <v>181</v>
      </c>
      <c r="M115" s="3"/>
      <c r="N115" s="10"/>
      <c r="O115" s="5" t="s">
        <v>180</v>
      </c>
      <c r="P115" s="10"/>
      <c r="Q115" s="10"/>
      <c r="R115" s="10"/>
      <c r="S115" s="10"/>
      <c r="U115" s="10"/>
      <c r="V115" s="10"/>
      <c r="W115" s="10"/>
      <c r="X115" s="18">
        <f t="shared" ca="1" si="19"/>
        <v>0</v>
      </c>
      <c r="Y115" s="18">
        <f t="shared" ca="1" si="20"/>
        <v>0</v>
      </c>
      <c r="Z115" s="18">
        <f t="shared" ca="1" si="21"/>
        <v>0</v>
      </c>
      <c r="AA115" s="18">
        <f t="shared" ca="1" si="22"/>
        <v>0</v>
      </c>
      <c r="AB115" s="18">
        <f t="shared" ca="1" si="23"/>
        <v>0</v>
      </c>
      <c r="AC115" s="18">
        <f t="shared" ca="1" si="24"/>
        <v>0</v>
      </c>
      <c r="AD115" s="18">
        <f t="shared" ca="1" si="25"/>
        <v>0</v>
      </c>
    </row>
    <row r="116" spans="1:31" ht="75">
      <c r="A116" s="43" t="s">
        <v>110</v>
      </c>
      <c r="B116" s="8" t="s">
        <v>122</v>
      </c>
      <c r="C116" s="16"/>
      <c r="D116" s="17"/>
      <c r="E116" s="2"/>
      <c r="F116" s="2"/>
      <c r="G116" s="2"/>
      <c r="H116" s="2"/>
      <c r="I116" s="2"/>
      <c r="J116" s="17"/>
      <c r="K116" s="1">
        <f t="shared" si="18"/>
        <v>0</v>
      </c>
      <c r="L116" s="8" t="s">
        <v>181</v>
      </c>
      <c r="M116" s="3"/>
      <c r="N116" s="10"/>
      <c r="O116" s="5" t="s">
        <v>180</v>
      </c>
      <c r="P116" s="10"/>
      <c r="Q116" s="10"/>
      <c r="R116" s="10"/>
      <c r="S116" s="10"/>
      <c r="U116" s="10"/>
      <c r="V116" s="10"/>
      <c r="W116" s="10"/>
      <c r="X116" s="18">
        <f t="shared" ca="1" si="19"/>
        <v>0</v>
      </c>
      <c r="Y116" s="18">
        <f t="shared" ca="1" si="20"/>
        <v>0</v>
      </c>
      <c r="Z116" s="18">
        <f t="shared" ca="1" si="21"/>
        <v>0</v>
      </c>
      <c r="AA116" s="18">
        <f t="shared" ca="1" si="22"/>
        <v>0</v>
      </c>
      <c r="AB116" s="18">
        <f t="shared" ca="1" si="23"/>
        <v>0</v>
      </c>
      <c r="AC116" s="18">
        <f t="shared" ca="1" si="24"/>
        <v>0</v>
      </c>
      <c r="AD116" s="18">
        <f t="shared" ca="1" si="25"/>
        <v>0</v>
      </c>
    </row>
    <row r="117" spans="1:31" ht="75">
      <c r="A117" s="38" t="s">
        <v>110</v>
      </c>
      <c r="B117" s="8" t="s">
        <v>123</v>
      </c>
      <c r="C117" s="16"/>
      <c r="D117" s="17"/>
      <c r="E117" s="2"/>
      <c r="F117" s="2"/>
      <c r="G117" s="2"/>
      <c r="H117" s="2"/>
      <c r="I117" s="2"/>
      <c r="J117" s="17"/>
      <c r="K117" s="1">
        <f t="shared" si="18"/>
        <v>0</v>
      </c>
      <c r="L117" s="8" t="s">
        <v>181</v>
      </c>
      <c r="M117" s="3"/>
      <c r="N117" s="10"/>
      <c r="O117" s="5" t="s">
        <v>180</v>
      </c>
      <c r="P117" s="10"/>
      <c r="Q117" s="10"/>
      <c r="R117" s="10"/>
      <c r="S117" s="10"/>
      <c r="U117" s="10"/>
      <c r="V117" s="10"/>
      <c r="W117" s="10"/>
      <c r="X117" s="18">
        <f t="shared" ca="1" si="19"/>
        <v>0</v>
      </c>
      <c r="Y117" s="18">
        <f t="shared" ca="1" si="20"/>
        <v>0</v>
      </c>
      <c r="Z117" s="18">
        <f t="shared" ca="1" si="21"/>
        <v>0</v>
      </c>
      <c r="AA117" s="18">
        <f t="shared" ca="1" si="22"/>
        <v>0</v>
      </c>
      <c r="AB117" s="18">
        <f t="shared" ca="1" si="23"/>
        <v>0</v>
      </c>
      <c r="AC117" s="18">
        <f t="shared" ca="1" si="24"/>
        <v>0</v>
      </c>
      <c r="AD117" s="18">
        <f t="shared" ca="1" si="25"/>
        <v>0</v>
      </c>
    </row>
    <row r="118" spans="1:31" ht="75">
      <c r="A118" s="38" t="s">
        <v>110</v>
      </c>
      <c r="B118" s="8" t="s">
        <v>124</v>
      </c>
      <c r="C118" s="16"/>
      <c r="D118" s="17"/>
      <c r="E118" s="2"/>
      <c r="F118" s="2"/>
      <c r="G118" s="2"/>
      <c r="H118" s="2"/>
      <c r="I118" s="2"/>
      <c r="J118" s="17"/>
      <c r="K118" s="1">
        <f t="shared" si="18"/>
        <v>0</v>
      </c>
      <c r="L118" s="8" t="s">
        <v>181</v>
      </c>
      <c r="M118" s="3"/>
      <c r="N118" s="10"/>
      <c r="O118" s="5" t="s">
        <v>180</v>
      </c>
      <c r="P118" s="10"/>
      <c r="Q118" s="10"/>
      <c r="R118" s="10"/>
      <c r="S118" s="10"/>
      <c r="U118" s="10"/>
      <c r="V118" s="10"/>
      <c r="W118" s="10"/>
      <c r="X118" s="18">
        <f t="shared" ca="1" si="19"/>
        <v>0</v>
      </c>
      <c r="Y118" s="18">
        <f t="shared" ca="1" si="20"/>
        <v>0</v>
      </c>
      <c r="Z118" s="18">
        <f t="shared" ca="1" si="21"/>
        <v>0</v>
      </c>
      <c r="AA118" s="18">
        <f t="shared" ca="1" si="22"/>
        <v>0</v>
      </c>
      <c r="AB118" s="18">
        <f t="shared" ca="1" si="23"/>
        <v>0</v>
      </c>
      <c r="AC118" s="18">
        <f t="shared" ca="1" si="24"/>
        <v>0</v>
      </c>
      <c r="AD118" s="18">
        <f t="shared" ca="1" si="25"/>
        <v>0</v>
      </c>
    </row>
    <row r="119" spans="1:31" ht="75">
      <c r="A119" s="38" t="s">
        <v>110</v>
      </c>
      <c r="B119" s="8" t="s">
        <v>125</v>
      </c>
      <c r="C119" s="16"/>
      <c r="D119" s="17"/>
      <c r="E119" s="2"/>
      <c r="F119" s="2"/>
      <c r="G119" s="2"/>
      <c r="H119" s="2"/>
      <c r="I119" s="2"/>
      <c r="J119" s="17"/>
      <c r="K119" s="1">
        <f t="shared" si="18"/>
        <v>0</v>
      </c>
      <c r="L119" s="8" t="s">
        <v>181</v>
      </c>
      <c r="M119" s="3"/>
      <c r="N119" s="10"/>
      <c r="O119" s="5" t="s">
        <v>180</v>
      </c>
      <c r="P119" s="10"/>
      <c r="Q119" s="10"/>
      <c r="R119" s="10"/>
      <c r="S119" s="10"/>
      <c r="U119" s="10"/>
      <c r="V119" s="10"/>
      <c r="W119" s="10"/>
      <c r="X119" s="18">
        <f t="shared" ca="1" si="19"/>
        <v>0</v>
      </c>
      <c r="Y119" s="18">
        <f t="shared" ca="1" si="20"/>
        <v>0</v>
      </c>
      <c r="Z119" s="18">
        <f t="shared" ca="1" si="21"/>
        <v>0</v>
      </c>
      <c r="AA119" s="18">
        <f t="shared" ca="1" si="22"/>
        <v>0</v>
      </c>
      <c r="AB119" s="18">
        <f t="shared" ca="1" si="23"/>
        <v>0</v>
      </c>
      <c r="AC119" s="18">
        <f t="shared" ca="1" si="24"/>
        <v>0</v>
      </c>
      <c r="AD119" s="18">
        <f t="shared" ca="1" si="25"/>
        <v>0</v>
      </c>
    </row>
    <row r="120" spans="1:31" ht="72" customHeight="1">
      <c r="A120" s="38" t="s">
        <v>110</v>
      </c>
      <c r="B120" s="8" t="s">
        <v>126</v>
      </c>
      <c r="C120" s="16"/>
      <c r="D120" s="17"/>
      <c r="E120" s="2"/>
      <c r="F120" s="2"/>
      <c r="G120" s="2"/>
      <c r="H120" s="2"/>
      <c r="I120" s="2"/>
      <c r="J120" s="17"/>
      <c r="K120" s="1">
        <f t="shared" si="18"/>
        <v>0</v>
      </c>
      <c r="L120" s="8" t="s">
        <v>181</v>
      </c>
      <c r="M120" s="3" t="str">
        <f>_xlfn.IFNA(HYPERLINK(VLOOKUP(B120,'Project List'!A:A,2,FALSE),"Link"),"")</f>
        <v/>
      </c>
      <c r="N120" s="10"/>
      <c r="O120" s="5" t="s">
        <v>180</v>
      </c>
      <c r="P120" s="10"/>
      <c r="Q120" s="10"/>
      <c r="R120" s="10"/>
      <c r="S120" s="10"/>
      <c r="U120" s="10"/>
      <c r="V120" s="10"/>
      <c r="W120" s="10"/>
      <c r="X120" s="18">
        <f t="shared" ca="1" si="19"/>
        <v>0</v>
      </c>
      <c r="Y120" s="18">
        <f t="shared" ca="1" si="20"/>
        <v>0</v>
      </c>
      <c r="Z120" s="18">
        <f t="shared" ca="1" si="21"/>
        <v>0</v>
      </c>
      <c r="AA120" s="18">
        <f t="shared" ca="1" si="22"/>
        <v>0</v>
      </c>
      <c r="AB120" s="18">
        <f t="shared" ca="1" si="23"/>
        <v>0</v>
      </c>
      <c r="AC120" s="18">
        <f t="shared" ca="1" si="24"/>
        <v>0</v>
      </c>
      <c r="AD120" s="18">
        <f t="shared" ca="1" si="25"/>
        <v>0</v>
      </c>
      <c r="AE120" s="10"/>
    </row>
    <row r="121" spans="1:31" ht="72" customHeight="1">
      <c r="A121" s="38" t="s">
        <v>110</v>
      </c>
      <c r="B121" s="8" t="s">
        <v>127</v>
      </c>
      <c r="C121" s="16"/>
      <c r="D121" s="17"/>
      <c r="E121" s="2"/>
      <c r="F121" s="2"/>
      <c r="G121" s="2"/>
      <c r="H121" s="2"/>
      <c r="I121" s="2"/>
      <c r="J121" s="17"/>
      <c r="K121" s="1">
        <f t="shared" si="18"/>
        <v>0</v>
      </c>
      <c r="L121" s="8" t="s">
        <v>181</v>
      </c>
      <c r="M121" s="3"/>
      <c r="N121" s="10"/>
      <c r="O121" s="5" t="s">
        <v>180</v>
      </c>
      <c r="P121" s="10"/>
      <c r="Q121" s="10"/>
      <c r="R121" s="10"/>
      <c r="S121" s="10"/>
      <c r="U121" s="10"/>
      <c r="V121" s="10"/>
      <c r="W121" s="10"/>
      <c r="X121" s="18">
        <f t="shared" ca="1" si="19"/>
        <v>0</v>
      </c>
      <c r="Y121" s="18">
        <f t="shared" ca="1" si="20"/>
        <v>0</v>
      </c>
      <c r="Z121" s="18">
        <f t="shared" ca="1" si="21"/>
        <v>0</v>
      </c>
      <c r="AA121" s="18">
        <f t="shared" ca="1" si="22"/>
        <v>0</v>
      </c>
      <c r="AB121" s="18">
        <f t="shared" ca="1" si="23"/>
        <v>0</v>
      </c>
      <c r="AC121" s="18">
        <f t="shared" ca="1" si="24"/>
        <v>0</v>
      </c>
      <c r="AD121" s="18">
        <f t="shared" ca="1" si="25"/>
        <v>0</v>
      </c>
      <c r="AE121" s="10"/>
    </row>
    <row r="122" spans="1:31" ht="72" customHeight="1">
      <c r="A122" s="43" t="s">
        <v>110</v>
      </c>
      <c r="B122" s="8" t="s">
        <v>128</v>
      </c>
      <c r="C122" s="16"/>
      <c r="D122" s="17"/>
      <c r="E122" s="2"/>
      <c r="F122" s="2"/>
      <c r="G122" s="2"/>
      <c r="H122" s="2"/>
      <c r="I122" s="2"/>
      <c r="J122" s="17"/>
      <c r="K122" s="1">
        <f t="shared" si="18"/>
        <v>0</v>
      </c>
      <c r="L122" s="8" t="s">
        <v>181</v>
      </c>
      <c r="M122" s="3"/>
      <c r="N122" s="10"/>
      <c r="O122" s="5" t="s">
        <v>180</v>
      </c>
      <c r="P122" s="10"/>
      <c r="Q122" s="10"/>
      <c r="R122" s="10"/>
      <c r="S122" s="10"/>
      <c r="U122" s="10"/>
      <c r="V122" s="10"/>
      <c r="W122" s="10"/>
      <c r="X122" s="18">
        <f t="shared" ca="1" si="19"/>
        <v>0</v>
      </c>
      <c r="Y122" s="18">
        <f t="shared" ca="1" si="20"/>
        <v>0</v>
      </c>
      <c r="Z122" s="18">
        <f t="shared" ca="1" si="21"/>
        <v>0</v>
      </c>
      <c r="AA122" s="18">
        <f t="shared" ca="1" si="22"/>
        <v>0</v>
      </c>
      <c r="AB122" s="18">
        <f t="shared" ca="1" si="23"/>
        <v>0</v>
      </c>
      <c r="AC122" s="18">
        <f t="shared" ca="1" si="24"/>
        <v>0</v>
      </c>
      <c r="AD122" s="18">
        <f t="shared" ca="1" si="25"/>
        <v>0</v>
      </c>
      <c r="AE122" s="10"/>
    </row>
    <row r="123" spans="1:31" ht="72" customHeight="1">
      <c r="A123" s="38" t="s">
        <v>110</v>
      </c>
      <c r="B123" s="8" t="s">
        <v>129</v>
      </c>
      <c r="C123" s="16"/>
      <c r="D123" s="17"/>
      <c r="E123" s="2"/>
      <c r="F123" s="2"/>
      <c r="G123" s="2"/>
      <c r="H123" s="2"/>
      <c r="I123" s="2"/>
      <c r="J123" s="17"/>
      <c r="K123" s="1">
        <f t="shared" si="18"/>
        <v>0</v>
      </c>
      <c r="L123" s="8" t="s">
        <v>181</v>
      </c>
      <c r="M123" s="3"/>
      <c r="N123" s="10"/>
      <c r="O123" s="5" t="s">
        <v>180</v>
      </c>
      <c r="P123" s="10"/>
      <c r="Q123" s="10"/>
      <c r="R123" s="10"/>
      <c r="S123" s="10"/>
      <c r="U123" s="10"/>
      <c r="V123" s="10"/>
      <c r="W123" s="10"/>
      <c r="X123" s="18">
        <f t="shared" ca="1" si="19"/>
        <v>0</v>
      </c>
      <c r="Y123" s="18">
        <f t="shared" ca="1" si="20"/>
        <v>0</v>
      </c>
      <c r="Z123" s="18">
        <f t="shared" ca="1" si="21"/>
        <v>0</v>
      </c>
      <c r="AA123" s="18">
        <f t="shared" ca="1" si="22"/>
        <v>0</v>
      </c>
      <c r="AB123" s="18">
        <f t="shared" ca="1" si="23"/>
        <v>0</v>
      </c>
      <c r="AC123" s="18">
        <f t="shared" ca="1" si="24"/>
        <v>0</v>
      </c>
      <c r="AD123" s="18">
        <f t="shared" ca="1" si="25"/>
        <v>0</v>
      </c>
      <c r="AE123" s="10"/>
    </row>
    <row r="124" spans="1:31" ht="72" customHeight="1">
      <c r="A124" s="38" t="s">
        <v>110</v>
      </c>
      <c r="B124" s="8" t="s">
        <v>130</v>
      </c>
      <c r="C124" s="16"/>
      <c r="D124" s="17"/>
      <c r="E124" s="2"/>
      <c r="F124" s="2"/>
      <c r="G124" s="2"/>
      <c r="H124" s="2"/>
      <c r="I124" s="2"/>
      <c r="J124" s="17"/>
      <c r="K124" s="1">
        <f t="shared" si="18"/>
        <v>0</v>
      </c>
      <c r="L124" s="8" t="s">
        <v>181</v>
      </c>
      <c r="M124" s="3"/>
      <c r="N124" s="10"/>
      <c r="O124" s="5" t="s">
        <v>180</v>
      </c>
      <c r="P124" s="10"/>
      <c r="Q124" s="10"/>
      <c r="R124" s="10"/>
      <c r="S124" s="10"/>
      <c r="U124" s="10"/>
      <c r="V124" s="10"/>
      <c r="W124" s="10"/>
      <c r="X124" s="18">
        <f t="shared" ca="1" si="19"/>
        <v>0</v>
      </c>
      <c r="Y124" s="18">
        <f t="shared" ca="1" si="20"/>
        <v>0</v>
      </c>
      <c r="Z124" s="18">
        <f t="shared" ca="1" si="21"/>
        <v>0</v>
      </c>
      <c r="AA124" s="18">
        <f t="shared" ca="1" si="22"/>
        <v>0</v>
      </c>
      <c r="AB124" s="18">
        <f t="shared" ca="1" si="23"/>
        <v>0</v>
      </c>
      <c r="AC124" s="18">
        <f t="shared" ca="1" si="24"/>
        <v>0</v>
      </c>
      <c r="AD124" s="18">
        <f t="shared" ca="1" si="25"/>
        <v>0</v>
      </c>
      <c r="AE124" s="10"/>
    </row>
    <row r="125" spans="1:31" ht="72" customHeight="1">
      <c r="A125" s="38" t="s">
        <v>110</v>
      </c>
      <c r="B125" s="8" t="s">
        <v>131</v>
      </c>
      <c r="C125" s="16"/>
      <c r="D125" s="17"/>
      <c r="E125" s="2"/>
      <c r="F125" s="2"/>
      <c r="G125" s="2"/>
      <c r="H125" s="2"/>
      <c r="I125" s="2"/>
      <c r="J125" s="17"/>
      <c r="K125" s="1">
        <f t="shared" si="18"/>
        <v>0</v>
      </c>
      <c r="L125" s="8" t="s">
        <v>181</v>
      </c>
      <c r="M125" s="3"/>
      <c r="N125" s="10"/>
      <c r="O125" s="5" t="s">
        <v>180</v>
      </c>
      <c r="P125" s="10"/>
      <c r="Q125" s="10"/>
      <c r="R125" s="10"/>
      <c r="S125" s="10"/>
      <c r="U125" s="10"/>
      <c r="V125" s="10"/>
      <c r="W125" s="10"/>
      <c r="X125" s="18">
        <f t="shared" ca="1" si="19"/>
        <v>0</v>
      </c>
      <c r="Y125" s="18">
        <f t="shared" ca="1" si="20"/>
        <v>0</v>
      </c>
      <c r="Z125" s="18">
        <f t="shared" ca="1" si="21"/>
        <v>0</v>
      </c>
      <c r="AA125" s="18">
        <f t="shared" ca="1" si="22"/>
        <v>0</v>
      </c>
      <c r="AB125" s="18">
        <f t="shared" ca="1" si="23"/>
        <v>0</v>
      </c>
      <c r="AC125" s="18">
        <f t="shared" ca="1" si="24"/>
        <v>0</v>
      </c>
      <c r="AD125" s="18">
        <f t="shared" ca="1" si="25"/>
        <v>0</v>
      </c>
      <c r="AE125" s="10"/>
    </row>
    <row r="126" spans="1:31" ht="72" customHeight="1">
      <c r="A126" s="38" t="s">
        <v>110</v>
      </c>
      <c r="B126" s="8" t="s">
        <v>132</v>
      </c>
      <c r="C126" s="16"/>
      <c r="D126" s="17"/>
      <c r="E126" s="2"/>
      <c r="F126" s="2"/>
      <c r="G126" s="2"/>
      <c r="H126" s="2"/>
      <c r="I126" s="2"/>
      <c r="J126" s="17"/>
      <c r="K126" s="1">
        <f t="shared" si="18"/>
        <v>0</v>
      </c>
      <c r="L126" s="8" t="s">
        <v>181</v>
      </c>
      <c r="M126" s="3"/>
      <c r="N126" s="10"/>
      <c r="O126" s="5" t="s">
        <v>180</v>
      </c>
      <c r="P126" s="10"/>
      <c r="Q126" s="10"/>
      <c r="R126" s="10"/>
      <c r="S126" s="10"/>
      <c r="U126" s="10"/>
      <c r="V126" s="10"/>
      <c r="W126" s="10"/>
      <c r="X126" s="18">
        <f t="shared" ca="1" si="19"/>
        <v>0</v>
      </c>
      <c r="Y126" s="18">
        <f t="shared" ca="1" si="20"/>
        <v>0</v>
      </c>
      <c r="Z126" s="18">
        <f t="shared" ca="1" si="21"/>
        <v>0</v>
      </c>
      <c r="AA126" s="18">
        <f t="shared" ca="1" si="22"/>
        <v>0</v>
      </c>
      <c r="AB126" s="18">
        <f t="shared" ca="1" si="23"/>
        <v>0</v>
      </c>
      <c r="AC126" s="18">
        <f t="shared" ca="1" si="24"/>
        <v>0</v>
      </c>
      <c r="AD126" s="18">
        <f t="shared" ca="1" si="25"/>
        <v>0</v>
      </c>
      <c r="AE126" s="10"/>
    </row>
    <row r="127" spans="1:31" ht="72" customHeight="1">
      <c r="A127" s="38" t="s">
        <v>110</v>
      </c>
      <c r="B127" s="8" t="s">
        <v>133</v>
      </c>
      <c r="C127" s="16"/>
      <c r="D127" s="17"/>
      <c r="E127" s="2"/>
      <c r="F127" s="2"/>
      <c r="G127" s="2"/>
      <c r="H127" s="2"/>
      <c r="I127" s="2"/>
      <c r="J127" s="17"/>
      <c r="K127" s="1">
        <f t="shared" si="18"/>
        <v>0</v>
      </c>
      <c r="L127" s="8" t="s">
        <v>181</v>
      </c>
      <c r="M127" s="3"/>
      <c r="N127" s="10"/>
      <c r="O127" s="5" t="s">
        <v>180</v>
      </c>
      <c r="P127" s="10"/>
      <c r="Q127" s="10"/>
      <c r="R127" s="10"/>
      <c r="S127" s="10"/>
      <c r="U127" s="10"/>
      <c r="V127" s="10"/>
      <c r="W127" s="10"/>
      <c r="X127" s="18">
        <f t="shared" ca="1" si="19"/>
        <v>0</v>
      </c>
      <c r="Y127" s="18">
        <f t="shared" ca="1" si="20"/>
        <v>0</v>
      </c>
      <c r="Z127" s="18">
        <f t="shared" ca="1" si="21"/>
        <v>0</v>
      </c>
      <c r="AA127" s="18">
        <f t="shared" ca="1" si="22"/>
        <v>0</v>
      </c>
      <c r="AB127" s="18">
        <f t="shared" ca="1" si="23"/>
        <v>0</v>
      </c>
      <c r="AC127" s="18">
        <f t="shared" ca="1" si="24"/>
        <v>0</v>
      </c>
      <c r="AD127" s="18">
        <f t="shared" ca="1" si="25"/>
        <v>0</v>
      </c>
      <c r="AE127" s="10"/>
    </row>
    <row r="128" spans="1:31" ht="72" customHeight="1">
      <c r="A128" s="38" t="s">
        <v>110</v>
      </c>
      <c r="B128" s="8" t="s">
        <v>134</v>
      </c>
      <c r="C128" s="16"/>
      <c r="D128" s="17"/>
      <c r="E128" s="2"/>
      <c r="F128" s="2"/>
      <c r="G128" s="2"/>
      <c r="H128" s="2"/>
      <c r="I128" s="2"/>
      <c r="J128" s="17"/>
      <c r="K128" s="1">
        <f t="shared" si="18"/>
        <v>0</v>
      </c>
      <c r="L128" s="8" t="s">
        <v>181</v>
      </c>
      <c r="M128" s="3"/>
      <c r="N128" s="10"/>
      <c r="O128" s="5" t="s">
        <v>180</v>
      </c>
      <c r="P128" s="10"/>
      <c r="Q128" s="10"/>
      <c r="R128" s="10"/>
      <c r="S128" s="10"/>
      <c r="U128" s="10"/>
      <c r="V128" s="10"/>
      <c r="W128" s="10"/>
      <c r="X128" s="18">
        <f t="shared" ca="1" si="19"/>
        <v>0</v>
      </c>
      <c r="Y128" s="18">
        <f t="shared" ca="1" si="20"/>
        <v>0</v>
      </c>
      <c r="Z128" s="18">
        <f t="shared" ca="1" si="21"/>
        <v>0</v>
      </c>
      <c r="AA128" s="18">
        <f t="shared" ca="1" si="22"/>
        <v>0</v>
      </c>
      <c r="AB128" s="18">
        <f t="shared" ca="1" si="23"/>
        <v>0</v>
      </c>
      <c r="AC128" s="18">
        <f t="shared" ca="1" si="24"/>
        <v>0</v>
      </c>
      <c r="AD128" s="18">
        <f t="shared" ca="1" si="25"/>
        <v>0</v>
      </c>
      <c r="AE128" s="10"/>
    </row>
    <row r="129" spans="1:31" ht="72" customHeight="1">
      <c r="A129" s="38" t="s">
        <v>110</v>
      </c>
      <c r="B129" s="8" t="s">
        <v>135</v>
      </c>
      <c r="C129" s="16"/>
      <c r="D129" s="17"/>
      <c r="E129" s="2"/>
      <c r="F129" s="2"/>
      <c r="G129" s="2"/>
      <c r="H129" s="2"/>
      <c r="I129" s="2"/>
      <c r="J129" s="17"/>
      <c r="K129" s="1">
        <f t="shared" si="18"/>
        <v>0</v>
      </c>
      <c r="L129" s="8" t="s">
        <v>181</v>
      </c>
      <c r="M129" s="3"/>
      <c r="N129" s="10"/>
      <c r="O129" s="5" t="s">
        <v>180</v>
      </c>
      <c r="P129" s="10"/>
      <c r="Q129" s="10"/>
      <c r="R129" s="10"/>
      <c r="S129" s="10"/>
      <c r="U129" s="10"/>
      <c r="V129" s="10"/>
      <c r="W129" s="10"/>
      <c r="X129" s="18">
        <f t="shared" ca="1" si="19"/>
        <v>0</v>
      </c>
      <c r="Y129" s="18">
        <f t="shared" ca="1" si="20"/>
        <v>0</v>
      </c>
      <c r="Z129" s="18">
        <f t="shared" ca="1" si="21"/>
        <v>0</v>
      </c>
      <c r="AA129" s="18">
        <f t="shared" ca="1" si="22"/>
        <v>0</v>
      </c>
      <c r="AB129" s="18">
        <f t="shared" ca="1" si="23"/>
        <v>0</v>
      </c>
      <c r="AC129" s="18">
        <f t="shared" ca="1" si="24"/>
        <v>0</v>
      </c>
      <c r="AD129" s="18">
        <f t="shared" ca="1" si="25"/>
        <v>0</v>
      </c>
      <c r="AE129" s="10"/>
    </row>
    <row r="130" spans="1:31" ht="72" customHeight="1">
      <c r="A130" s="38" t="s">
        <v>110</v>
      </c>
      <c r="B130" s="8" t="s">
        <v>136</v>
      </c>
      <c r="C130" s="16"/>
      <c r="D130" s="17"/>
      <c r="E130" s="2"/>
      <c r="F130" s="2"/>
      <c r="G130" s="2"/>
      <c r="H130" s="2"/>
      <c r="I130" s="2"/>
      <c r="J130" s="17"/>
      <c r="K130" s="1">
        <f t="shared" si="18"/>
        <v>0</v>
      </c>
      <c r="L130" s="8" t="s">
        <v>181</v>
      </c>
      <c r="M130" s="3"/>
      <c r="N130" s="10"/>
      <c r="O130" s="5" t="s">
        <v>180</v>
      </c>
      <c r="P130" s="10"/>
      <c r="Q130" s="10"/>
      <c r="R130" s="10"/>
      <c r="S130" s="10"/>
      <c r="U130" s="10"/>
      <c r="V130" s="10"/>
      <c r="W130" s="10"/>
      <c r="X130" s="18">
        <f t="shared" ca="1" si="19"/>
        <v>0</v>
      </c>
      <c r="Y130" s="18">
        <f t="shared" ca="1" si="20"/>
        <v>0</v>
      </c>
      <c r="Z130" s="18">
        <f t="shared" ca="1" si="21"/>
        <v>0</v>
      </c>
      <c r="AA130" s="18">
        <f t="shared" ca="1" si="22"/>
        <v>0</v>
      </c>
      <c r="AB130" s="18">
        <f t="shared" ca="1" si="23"/>
        <v>0</v>
      </c>
      <c r="AC130" s="18">
        <f t="shared" ca="1" si="24"/>
        <v>0</v>
      </c>
      <c r="AD130" s="18">
        <f t="shared" ca="1" si="25"/>
        <v>0</v>
      </c>
      <c r="AE130" s="10"/>
    </row>
    <row r="131" spans="1:31" ht="72" customHeight="1">
      <c r="A131" s="43" t="s">
        <v>110</v>
      </c>
      <c r="B131" s="8" t="s">
        <v>137</v>
      </c>
      <c r="C131" s="16"/>
      <c r="D131" s="17"/>
      <c r="E131" s="2"/>
      <c r="F131" s="2"/>
      <c r="G131" s="2"/>
      <c r="H131" s="2"/>
      <c r="I131" s="2"/>
      <c r="J131" s="17"/>
      <c r="K131" s="1">
        <f t="shared" si="18"/>
        <v>0</v>
      </c>
      <c r="L131" s="8" t="s">
        <v>181</v>
      </c>
      <c r="M131" s="3"/>
      <c r="N131" s="10"/>
      <c r="O131" s="5" t="s">
        <v>180</v>
      </c>
      <c r="P131" s="10"/>
      <c r="Q131" s="10"/>
      <c r="R131" s="10"/>
      <c r="S131" s="10"/>
      <c r="U131" s="10"/>
      <c r="V131" s="10"/>
      <c r="W131" s="10"/>
      <c r="X131" s="18">
        <f t="shared" ca="1" si="19"/>
        <v>0</v>
      </c>
      <c r="Y131" s="18">
        <f t="shared" ca="1" si="20"/>
        <v>0</v>
      </c>
      <c r="Z131" s="18">
        <f t="shared" ca="1" si="21"/>
        <v>0</v>
      </c>
      <c r="AA131" s="18">
        <f t="shared" ca="1" si="22"/>
        <v>0</v>
      </c>
      <c r="AB131" s="18">
        <f t="shared" ca="1" si="23"/>
        <v>0</v>
      </c>
      <c r="AC131" s="18">
        <f t="shared" ca="1" si="24"/>
        <v>0</v>
      </c>
      <c r="AD131" s="18">
        <f t="shared" ca="1" si="25"/>
        <v>0</v>
      </c>
      <c r="AE131" s="10"/>
    </row>
    <row r="132" spans="1:31" ht="72" customHeight="1">
      <c r="A132" s="38" t="s">
        <v>110</v>
      </c>
      <c r="B132" s="8" t="s">
        <v>138</v>
      </c>
      <c r="C132" s="16"/>
      <c r="D132" s="17"/>
      <c r="E132" s="2"/>
      <c r="F132" s="2"/>
      <c r="G132" s="2"/>
      <c r="H132" s="2"/>
      <c r="I132" s="2"/>
      <c r="J132" s="17"/>
      <c r="K132" s="1">
        <f t="shared" si="18"/>
        <v>0</v>
      </c>
      <c r="L132" s="8" t="s">
        <v>181</v>
      </c>
      <c r="M132" s="3"/>
      <c r="N132" s="10"/>
      <c r="O132" s="5" t="s">
        <v>180</v>
      </c>
      <c r="P132" s="10"/>
      <c r="Q132" s="10"/>
      <c r="R132" s="10"/>
      <c r="S132" s="10"/>
      <c r="U132" s="10"/>
      <c r="V132" s="10"/>
      <c r="W132" s="10"/>
      <c r="X132" s="18">
        <f t="shared" ca="1" si="19"/>
        <v>0</v>
      </c>
      <c r="Y132" s="18">
        <f t="shared" ca="1" si="20"/>
        <v>0</v>
      </c>
      <c r="Z132" s="18">
        <f t="shared" ca="1" si="21"/>
        <v>0</v>
      </c>
      <c r="AA132" s="18">
        <f t="shared" ca="1" si="22"/>
        <v>0</v>
      </c>
      <c r="AB132" s="18">
        <f t="shared" ca="1" si="23"/>
        <v>0</v>
      </c>
      <c r="AC132" s="18">
        <f t="shared" ca="1" si="24"/>
        <v>0</v>
      </c>
      <c r="AD132" s="18">
        <f t="shared" ca="1" si="25"/>
        <v>0</v>
      </c>
      <c r="AE132" s="10"/>
    </row>
    <row r="133" spans="1:31" ht="72" customHeight="1">
      <c r="A133" s="38" t="s">
        <v>110</v>
      </c>
      <c r="B133" s="8" t="s">
        <v>139</v>
      </c>
      <c r="C133" s="16"/>
      <c r="D133" s="17"/>
      <c r="E133" s="2"/>
      <c r="F133" s="2"/>
      <c r="G133" s="2"/>
      <c r="H133" s="2"/>
      <c r="I133" s="2"/>
      <c r="J133" s="17"/>
      <c r="K133" s="1">
        <f t="shared" si="18"/>
        <v>0</v>
      </c>
      <c r="L133" s="8" t="s">
        <v>181</v>
      </c>
      <c r="M133" s="3"/>
      <c r="N133" s="10"/>
      <c r="O133" s="5" t="s">
        <v>180</v>
      </c>
      <c r="P133" s="10"/>
      <c r="Q133" s="10"/>
      <c r="R133" s="10"/>
      <c r="S133" s="10"/>
      <c r="U133" s="10"/>
      <c r="V133" s="10"/>
      <c r="W133" s="10"/>
      <c r="X133" s="18">
        <f t="shared" ca="1" si="19"/>
        <v>0</v>
      </c>
      <c r="Y133" s="18">
        <f t="shared" ca="1" si="20"/>
        <v>0</v>
      </c>
      <c r="Z133" s="18">
        <f t="shared" ca="1" si="21"/>
        <v>0</v>
      </c>
      <c r="AA133" s="18">
        <f t="shared" ca="1" si="22"/>
        <v>0</v>
      </c>
      <c r="AB133" s="18">
        <f t="shared" ca="1" si="23"/>
        <v>0</v>
      </c>
      <c r="AC133" s="18">
        <f t="shared" ca="1" si="24"/>
        <v>0</v>
      </c>
      <c r="AD133" s="18">
        <f t="shared" ca="1" si="25"/>
        <v>0</v>
      </c>
      <c r="AE133" s="10"/>
    </row>
    <row r="134" spans="1:31" ht="72" customHeight="1">
      <c r="A134" s="38" t="s">
        <v>110</v>
      </c>
      <c r="B134" s="8" t="s">
        <v>140</v>
      </c>
      <c r="C134" s="16"/>
      <c r="D134" s="17"/>
      <c r="E134" s="2"/>
      <c r="F134" s="2"/>
      <c r="G134" s="2"/>
      <c r="H134" s="2"/>
      <c r="I134" s="2"/>
      <c r="J134" s="17"/>
      <c r="K134" s="1">
        <f t="shared" si="18"/>
        <v>0</v>
      </c>
      <c r="L134" s="8" t="s">
        <v>181</v>
      </c>
      <c r="M134" s="3"/>
      <c r="N134" s="10"/>
      <c r="O134" s="5" t="s">
        <v>180</v>
      </c>
      <c r="P134" s="10"/>
      <c r="Q134" s="10"/>
      <c r="R134" s="10"/>
      <c r="S134" s="10"/>
      <c r="U134" s="10"/>
      <c r="V134" s="10"/>
      <c r="W134" s="10"/>
      <c r="X134" s="18">
        <f t="shared" ca="1" si="19"/>
        <v>0</v>
      </c>
      <c r="Y134" s="18">
        <f t="shared" ca="1" si="20"/>
        <v>0</v>
      </c>
      <c r="Z134" s="18">
        <f t="shared" ca="1" si="21"/>
        <v>0</v>
      </c>
      <c r="AA134" s="18">
        <f t="shared" ca="1" si="22"/>
        <v>0</v>
      </c>
      <c r="AB134" s="18">
        <f t="shared" ca="1" si="23"/>
        <v>0</v>
      </c>
      <c r="AC134" s="18">
        <f t="shared" ca="1" si="24"/>
        <v>0</v>
      </c>
      <c r="AD134" s="18">
        <f t="shared" ca="1" si="25"/>
        <v>0</v>
      </c>
      <c r="AE134" s="10"/>
    </row>
    <row r="135" spans="1:31" ht="72" customHeight="1">
      <c r="A135" s="38" t="s">
        <v>110</v>
      </c>
      <c r="B135" s="8" t="s">
        <v>178</v>
      </c>
      <c r="C135" s="16"/>
      <c r="D135" s="17"/>
      <c r="E135" s="2"/>
      <c r="F135" s="2"/>
      <c r="G135" s="2"/>
      <c r="H135" s="2"/>
      <c r="I135" s="2"/>
      <c r="J135" s="17"/>
      <c r="K135" s="1">
        <f t="shared" si="18"/>
        <v>0</v>
      </c>
      <c r="L135" s="8" t="s">
        <v>181</v>
      </c>
      <c r="M135" s="3"/>
      <c r="N135" s="10"/>
      <c r="O135" s="5" t="s">
        <v>180</v>
      </c>
      <c r="P135" s="10"/>
      <c r="Q135" s="10"/>
      <c r="R135" s="10"/>
      <c r="S135" s="10"/>
      <c r="U135" s="10"/>
      <c r="V135" s="10"/>
      <c r="W135" s="10"/>
      <c r="X135" s="18">
        <f t="shared" ca="1" si="19"/>
        <v>0</v>
      </c>
      <c r="Y135" s="18">
        <f t="shared" ca="1" si="20"/>
        <v>0</v>
      </c>
      <c r="Z135" s="18">
        <f t="shared" ca="1" si="21"/>
        <v>0</v>
      </c>
      <c r="AA135" s="18">
        <f t="shared" ca="1" si="22"/>
        <v>0</v>
      </c>
      <c r="AB135" s="18">
        <f t="shared" ca="1" si="23"/>
        <v>0</v>
      </c>
      <c r="AC135" s="18">
        <f t="shared" ca="1" si="24"/>
        <v>0</v>
      </c>
      <c r="AD135" s="18">
        <f t="shared" ca="1" si="25"/>
        <v>0</v>
      </c>
      <c r="AE135" s="10"/>
    </row>
    <row r="136" spans="1:31" ht="72" customHeight="1">
      <c r="A136" s="38" t="s">
        <v>114</v>
      </c>
      <c r="B136" s="8" t="s">
        <v>117</v>
      </c>
      <c r="C136" s="16"/>
      <c r="D136" s="17"/>
      <c r="E136" s="2"/>
      <c r="F136" s="2"/>
      <c r="G136" s="2"/>
      <c r="H136" s="2"/>
      <c r="I136" s="2"/>
      <c r="J136" s="17"/>
      <c r="K136" s="1">
        <f t="shared" si="18"/>
        <v>0</v>
      </c>
      <c r="L136" s="8" t="s">
        <v>181</v>
      </c>
      <c r="M136" s="3"/>
      <c r="N136" s="10"/>
      <c r="O136" s="5" t="s">
        <v>180</v>
      </c>
      <c r="P136" s="10"/>
      <c r="Q136" s="10"/>
      <c r="R136" s="10"/>
      <c r="S136" s="10"/>
      <c r="U136" s="10"/>
      <c r="V136" s="10"/>
      <c r="W136" s="10"/>
      <c r="X136" s="18">
        <f t="shared" ca="1" si="19"/>
        <v>0</v>
      </c>
      <c r="Y136" s="18">
        <f t="shared" ca="1" si="20"/>
        <v>0</v>
      </c>
      <c r="Z136" s="18">
        <f t="shared" ca="1" si="21"/>
        <v>0</v>
      </c>
      <c r="AA136" s="18">
        <f t="shared" ca="1" si="22"/>
        <v>0</v>
      </c>
      <c r="AB136" s="18">
        <f t="shared" ca="1" si="23"/>
        <v>0</v>
      </c>
      <c r="AC136" s="18">
        <f t="shared" ca="1" si="24"/>
        <v>0</v>
      </c>
      <c r="AD136" s="18">
        <f t="shared" ca="1" si="25"/>
        <v>0</v>
      </c>
      <c r="AE136" s="10"/>
    </row>
    <row r="137" spans="1:31" ht="72" customHeight="1">
      <c r="A137" s="38" t="s">
        <v>114</v>
      </c>
      <c r="B137" s="8" t="s">
        <v>118</v>
      </c>
      <c r="C137" s="16"/>
      <c r="D137" s="17"/>
      <c r="E137" s="2"/>
      <c r="F137" s="2"/>
      <c r="G137" s="2"/>
      <c r="H137" s="2"/>
      <c r="I137" s="2"/>
      <c r="J137" s="17"/>
      <c r="K137" s="1">
        <f t="shared" si="18"/>
        <v>0</v>
      </c>
      <c r="L137" s="8" t="s">
        <v>181</v>
      </c>
      <c r="M137" s="3"/>
      <c r="N137" s="10"/>
      <c r="O137" s="5" t="s">
        <v>180</v>
      </c>
      <c r="P137" s="10"/>
      <c r="Q137" s="10"/>
      <c r="R137" s="10"/>
      <c r="S137" s="10"/>
      <c r="U137" s="10"/>
      <c r="V137" s="10"/>
      <c r="W137" s="10"/>
      <c r="X137" s="18">
        <f t="shared" ca="1" si="19"/>
        <v>0</v>
      </c>
      <c r="Y137" s="18">
        <f t="shared" ca="1" si="20"/>
        <v>0</v>
      </c>
      <c r="Z137" s="18">
        <f t="shared" ca="1" si="21"/>
        <v>0</v>
      </c>
      <c r="AA137" s="18">
        <f t="shared" ca="1" si="22"/>
        <v>0</v>
      </c>
      <c r="AB137" s="18">
        <f t="shared" ca="1" si="23"/>
        <v>0</v>
      </c>
      <c r="AC137" s="18">
        <f t="shared" ca="1" si="24"/>
        <v>0</v>
      </c>
      <c r="AD137" s="18">
        <f t="shared" ca="1" si="25"/>
        <v>0</v>
      </c>
      <c r="AE137" s="10"/>
    </row>
    <row r="138" spans="1:31" ht="72" customHeight="1">
      <c r="A138" s="38" t="s">
        <v>114</v>
      </c>
      <c r="B138" s="8" t="s">
        <v>119</v>
      </c>
      <c r="C138" s="16"/>
      <c r="D138" s="17"/>
      <c r="E138" s="2"/>
      <c r="F138" s="2"/>
      <c r="G138" s="2"/>
      <c r="H138" s="2"/>
      <c r="I138" s="2"/>
      <c r="J138" s="17"/>
      <c r="K138" s="1">
        <f t="shared" si="18"/>
        <v>0</v>
      </c>
      <c r="L138" s="8" t="s">
        <v>181</v>
      </c>
      <c r="M138" s="3"/>
      <c r="N138" s="10"/>
      <c r="O138" s="5" t="s">
        <v>180</v>
      </c>
      <c r="P138" s="10"/>
      <c r="Q138" s="10"/>
      <c r="R138" s="10"/>
      <c r="S138" s="10"/>
      <c r="U138" s="10"/>
      <c r="V138" s="10"/>
      <c r="W138" s="10"/>
      <c r="X138" s="18">
        <f t="shared" ca="1" si="19"/>
        <v>0</v>
      </c>
      <c r="Y138" s="18">
        <f t="shared" ca="1" si="20"/>
        <v>0</v>
      </c>
      <c r="Z138" s="18">
        <f t="shared" ca="1" si="21"/>
        <v>0</v>
      </c>
      <c r="AA138" s="18">
        <f t="shared" ca="1" si="22"/>
        <v>0</v>
      </c>
      <c r="AB138" s="18">
        <f t="shared" ca="1" si="23"/>
        <v>0</v>
      </c>
      <c r="AC138" s="18">
        <f t="shared" ca="1" si="24"/>
        <v>0</v>
      </c>
      <c r="AD138" s="18">
        <f t="shared" ca="1" si="25"/>
        <v>0</v>
      </c>
      <c r="AE138" s="10"/>
    </row>
    <row r="139" spans="1:31" ht="72" customHeight="1">
      <c r="A139" s="38" t="s">
        <v>114</v>
      </c>
      <c r="B139" s="8" t="s">
        <v>120</v>
      </c>
      <c r="C139" s="16"/>
      <c r="D139" s="17"/>
      <c r="E139" s="2"/>
      <c r="F139" s="2"/>
      <c r="G139" s="2"/>
      <c r="H139" s="2"/>
      <c r="I139" s="2"/>
      <c r="J139" s="17"/>
      <c r="K139" s="1">
        <f t="shared" ref="K139:K202" si="26">SUM(D139:J139)</f>
        <v>0</v>
      </c>
      <c r="L139" s="8" t="s">
        <v>181</v>
      </c>
      <c r="M139" s="3"/>
      <c r="N139" s="10"/>
      <c r="O139" s="5" t="s">
        <v>180</v>
      </c>
      <c r="P139" s="10"/>
      <c r="Q139" s="10"/>
      <c r="R139" s="10"/>
      <c r="S139" s="10"/>
      <c r="U139" s="10"/>
      <c r="V139" s="10"/>
      <c r="W139" s="10"/>
      <c r="X139" s="18">
        <f t="shared" ca="1" si="19"/>
        <v>0</v>
      </c>
      <c r="Y139" s="18">
        <f t="shared" ca="1" si="20"/>
        <v>0</v>
      </c>
      <c r="Z139" s="18">
        <f t="shared" ca="1" si="21"/>
        <v>0</v>
      </c>
      <c r="AA139" s="18">
        <f t="shared" ca="1" si="22"/>
        <v>0</v>
      </c>
      <c r="AB139" s="18">
        <f t="shared" ca="1" si="23"/>
        <v>0</v>
      </c>
      <c r="AC139" s="18">
        <f t="shared" ca="1" si="24"/>
        <v>0</v>
      </c>
      <c r="AD139" s="18">
        <f t="shared" ca="1" si="25"/>
        <v>0</v>
      </c>
      <c r="AE139" s="10"/>
    </row>
    <row r="140" spans="1:31" ht="72" customHeight="1">
      <c r="A140" s="38" t="s">
        <v>114</v>
      </c>
      <c r="B140" s="8" t="s">
        <v>121</v>
      </c>
      <c r="C140" s="16"/>
      <c r="D140" s="17"/>
      <c r="E140" s="2"/>
      <c r="F140" s="2"/>
      <c r="G140" s="2"/>
      <c r="H140" s="2"/>
      <c r="I140" s="2"/>
      <c r="J140" s="17"/>
      <c r="K140" s="1">
        <f t="shared" si="26"/>
        <v>0</v>
      </c>
      <c r="L140" s="8" t="s">
        <v>181</v>
      </c>
      <c r="M140" s="3"/>
      <c r="N140" s="10"/>
      <c r="O140" s="5" t="s">
        <v>180</v>
      </c>
      <c r="P140" s="10"/>
      <c r="Q140" s="10"/>
      <c r="R140" s="10"/>
      <c r="S140" s="10"/>
      <c r="U140" s="10"/>
      <c r="V140" s="10"/>
      <c r="W140" s="10"/>
      <c r="X140" s="18">
        <f t="shared" ref="X140:X203" ca="1" si="27">LEN(IFERROR(_xlfn.FORMULATEXT(D140),""))-LEN(SUBSTITUTE(IFERROR(_xlfn.FORMULATEXT(D140),""),"=",""))+LEN(IFERROR(_xlfn.FORMULATEXT(D140),""))-LEN(SUBSTITUTE(IFERROR(_xlfn.FORMULATEXT(D140),""),"+",""))</f>
        <v>0</v>
      </c>
      <c r="Y140" s="18">
        <f t="shared" ref="Y140:Y203" ca="1" si="28">LEN(IFERROR(_xlfn.FORMULATEXT(E140),""))-LEN(SUBSTITUTE(IFERROR(_xlfn.FORMULATEXT(E140),""),"=",""))+LEN(IFERROR(_xlfn.FORMULATEXT(E140),""))-LEN(SUBSTITUTE(IFERROR(_xlfn.FORMULATEXT(E140),""),"+",""))</f>
        <v>0</v>
      </c>
      <c r="Z140" s="18">
        <f t="shared" ref="Z140:Z203" ca="1" si="29">LEN(IFERROR(_xlfn.FORMULATEXT(F140),""))-LEN(SUBSTITUTE(IFERROR(_xlfn.FORMULATEXT(F140),""),"=",""))+LEN(IFERROR(_xlfn.FORMULATEXT(F140),""))-LEN(SUBSTITUTE(IFERROR(_xlfn.FORMULATEXT(F140),""),"+",""))</f>
        <v>0</v>
      </c>
      <c r="AA140" s="18">
        <f t="shared" ref="AA140:AA203" ca="1" si="30">LEN(IFERROR(_xlfn.FORMULATEXT(G140),""))-LEN(SUBSTITUTE(IFERROR(_xlfn.FORMULATEXT(G140),""),"=",""))+LEN(IFERROR(_xlfn.FORMULATEXT(G140),""))-LEN(SUBSTITUTE(IFERROR(_xlfn.FORMULATEXT(G140),""),"+",""))</f>
        <v>0</v>
      </c>
      <c r="AB140" s="18">
        <f t="shared" ref="AB140:AB203" ca="1" si="31">LEN(IFERROR(_xlfn.FORMULATEXT(H140),""))-LEN(SUBSTITUTE(IFERROR(_xlfn.FORMULATEXT(H140),""),"=",""))+LEN(IFERROR(_xlfn.FORMULATEXT(H140),""))-LEN(SUBSTITUTE(IFERROR(_xlfn.FORMULATEXT(H140),""),"+",""))</f>
        <v>0</v>
      </c>
      <c r="AC140" s="18">
        <f t="shared" ref="AC140:AC203" ca="1" si="32">LEN(IFERROR(_xlfn.FORMULATEXT(I140),""))-LEN(SUBSTITUTE(IFERROR(_xlfn.FORMULATEXT(I140),""),"=",""))+LEN(IFERROR(_xlfn.FORMULATEXT(I140),""))-LEN(SUBSTITUTE(IFERROR(_xlfn.FORMULATEXT(I140),""),"+",""))</f>
        <v>0</v>
      </c>
      <c r="AD140" s="18">
        <f t="shared" ref="AD140:AD203" ca="1" si="33">LEN(IFERROR(_xlfn.FORMULATEXT(J140),""))-LEN(SUBSTITUTE(IFERROR(_xlfn.FORMULATEXT(J140),""),"=",""))+LEN(IFERROR(_xlfn.FORMULATEXT(J140),""))-LEN(SUBSTITUTE(IFERROR(_xlfn.FORMULATEXT(J140),""),"+",""))</f>
        <v>0</v>
      </c>
      <c r="AE140" s="10"/>
    </row>
    <row r="141" spans="1:31" ht="72" customHeight="1">
      <c r="A141" s="38" t="s">
        <v>114</v>
      </c>
      <c r="B141" s="8" t="s">
        <v>122</v>
      </c>
      <c r="C141" s="16"/>
      <c r="D141" s="17"/>
      <c r="E141" s="2"/>
      <c r="F141" s="2"/>
      <c r="G141" s="2"/>
      <c r="H141" s="2"/>
      <c r="I141" s="2"/>
      <c r="J141" s="17"/>
      <c r="K141" s="1">
        <f t="shared" si="26"/>
        <v>0</v>
      </c>
      <c r="L141" s="8" t="s">
        <v>181</v>
      </c>
      <c r="M141" s="3"/>
      <c r="N141" s="10"/>
      <c r="O141" s="5" t="s">
        <v>180</v>
      </c>
      <c r="P141" s="10"/>
      <c r="Q141" s="10"/>
      <c r="R141" s="10"/>
      <c r="S141" s="10"/>
      <c r="U141" s="10"/>
      <c r="V141" s="10"/>
      <c r="W141" s="10"/>
      <c r="X141" s="18">
        <f t="shared" ca="1" si="27"/>
        <v>0</v>
      </c>
      <c r="Y141" s="18">
        <f t="shared" ca="1" si="28"/>
        <v>0</v>
      </c>
      <c r="Z141" s="18">
        <f t="shared" ca="1" si="29"/>
        <v>0</v>
      </c>
      <c r="AA141" s="18">
        <f t="shared" ca="1" si="30"/>
        <v>0</v>
      </c>
      <c r="AB141" s="18">
        <f t="shared" ca="1" si="31"/>
        <v>0</v>
      </c>
      <c r="AC141" s="18">
        <f t="shared" ca="1" si="32"/>
        <v>0</v>
      </c>
      <c r="AD141" s="18">
        <f t="shared" ca="1" si="33"/>
        <v>0</v>
      </c>
      <c r="AE141" s="10"/>
    </row>
    <row r="142" spans="1:31" ht="72" customHeight="1">
      <c r="A142" s="38" t="s">
        <v>114</v>
      </c>
      <c r="B142" s="8" t="s">
        <v>123</v>
      </c>
      <c r="C142" s="16"/>
      <c r="D142" s="17"/>
      <c r="E142" s="2"/>
      <c r="F142" s="2"/>
      <c r="G142" s="2"/>
      <c r="H142" s="2"/>
      <c r="I142" s="2"/>
      <c r="J142" s="17"/>
      <c r="K142" s="1">
        <f t="shared" si="26"/>
        <v>0</v>
      </c>
      <c r="L142" s="8" t="s">
        <v>181</v>
      </c>
      <c r="M142" s="3"/>
      <c r="N142" s="10"/>
      <c r="O142" s="5" t="s">
        <v>180</v>
      </c>
      <c r="P142" s="10"/>
      <c r="Q142" s="10"/>
      <c r="R142" s="10"/>
      <c r="S142" s="10"/>
      <c r="U142" s="10"/>
      <c r="V142" s="10"/>
      <c r="W142" s="10"/>
      <c r="X142" s="18">
        <f t="shared" ca="1" si="27"/>
        <v>0</v>
      </c>
      <c r="Y142" s="18">
        <f t="shared" ca="1" si="28"/>
        <v>0</v>
      </c>
      <c r="Z142" s="18">
        <f t="shared" ca="1" si="29"/>
        <v>0</v>
      </c>
      <c r="AA142" s="18">
        <f t="shared" ca="1" si="30"/>
        <v>0</v>
      </c>
      <c r="AB142" s="18">
        <f t="shared" ca="1" si="31"/>
        <v>0</v>
      </c>
      <c r="AC142" s="18">
        <f t="shared" ca="1" si="32"/>
        <v>0</v>
      </c>
      <c r="AD142" s="18">
        <f t="shared" ca="1" si="33"/>
        <v>0</v>
      </c>
      <c r="AE142" s="10"/>
    </row>
    <row r="143" spans="1:31" ht="72" customHeight="1">
      <c r="A143" s="38" t="s">
        <v>114</v>
      </c>
      <c r="B143" s="8" t="s">
        <v>124</v>
      </c>
      <c r="C143" s="16"/>
      <c r="D143" s="17"/>
      <c r="E143" s="2"/>
      <c r="F143" s="2"/>
      <c r="G143" s="2"/>
      <c r="H143" s="2"/>
      <c r="I143" s="2"/>
      <c r="J143" s="17"/>
      <c r="K143" s="1">
        <f t="shared" si="26"/>
        <v>0</v>
      </c>
      <c r="L143" s="8" t="s">
        <v>181</v>
      </c>
      <c r="M143" s="3"/>
      <c r="N143" s="10"/>
      <c r="O143" s="5" t="s">
        <v>180</v>
      </c>
      <c r="P143" s="10"/>
      <c r="Q143" s="10"/>
      <c r="R143" s="10"/>
      <c r="S143" s="10"/>
      <c r="U143" s="10"/>
      <c r="V143" s="10"/>
      <c r="W143" s="10"/>
      <c r="X143" s="18">
        <f t="shared" ca="1" si="27"/>
        <v>0</v>
      </c>
      <c r="Y143" s="18">
        <f t="shared" ca="1" si="28"/>
        <v>0</v>
      </c>
      <c r="Z143" s="18">
        <f t="shared" ca="1" si="29"/>
        <v>0</v>
      </c>
      <c r="AA143" s="18">
        <f t="shared" ca="1" si="30"/>
        <v>0</v>
      </c>
      <c r="AB143" s="18">
        <f t="shared" ca="1" si="31"/>
        <v>0</v>
      </c>
      <c r="AC143" s="18">
        <f t="shared" ca="1" si="32"/>
        <v>0</v>
      </c>
      <c r="AD143" s="18">
        <f t="shared" ca="1" si="33"/>
        <v>0</v>
      </c>
      <c r="AE143" s="10"/>
    </row>
    <row r="144" spans="1:31" ht="72" customHeight="1">
      <c r="A144" s="38" t="s">
        <v>114</v>
      </c>
      <c r="B144" s="8" t="s">
        <v>125</v>
      </c>
      <c r="C144" s="16"/>
      <c r="D144" s="17"/>
      <c r="E144" s="2"/>
      <c r="F144" s="2"/>
      <c r="G144" s="2"/>
      <c r="H144" s="2"/>
      <c r="I144" s="2"/>
      <c r="J144" s="17"/>
      <c r="K144" s="1">
        <f t="shared" si="26"/>
        <v>0</v>
      </c>
      <c r="L144" s="8" t="s">
        <v>181</v>
      </c>
      <c r="M144" s="3"/>
      <c r="N144" s="10"/>
      <c r="O144" s="5" t="s">
        <v>180</v>
      </c>
      <c r="P144" s="10"/>
      <c r="Q144" s="10"/>
      <c r="R144" s="10"/>
      <c r="S144" s="10"/>
      <c r="U144" s="10"/>
      <c r="V144" s="10"/>
      <c r="W144" s="10"/>
      <c r="X144" s="18">
        <f t="shared" ca="1" si="27"/>
        <v>0</v>
      </c>
      <c r="Y144" s="18">
        <f t="shared" ca="1" si="28"/>
        <v>0</v>
      </c>
      <c r="Z144" s="18">
        <f t="shared" ca="1" si="29"/>
        <v>0</v>
      </c>
      <c r="AA144" s="18">
        <f t="shared" ca="1" si="30"/>
        <v>0</v>
      </c>
      <c r="AB144" s="18">
        <f t="shared" ca="1" si="31"/>
        <v>0</v>
      </c>
      <c r="AC144" s="18">
        <f t="shared" ca="1" si="32"/>
        <v>0</v>
      </c>
      <c r="AD144" s="18">
        <f t="shared" ca="1" si="33"/>
        <v>0</v>
      </c>
      <c r="AE144" s="10"/>
    </row>
    <row r="145" spans="1:31" ht="72" customHeight="1">
      <c r="A145" s="38" t="s">
        <v>114</v>
      </c>
      <c r="B145" s="8" t="s">
        <v>126</v>
      </c>
      <c r="C145" s="16"/>
      <c r="D145" s="17"/>
      <c r="E145" s="2"/>
      <c r="F145" s="2"/>
      <c r="G145" s="2"/>
      <c r="H145" s="2"/>
      <c r="I145" s="2"/>
      <c r="J145" s="17"/>
      <c r="K145" s="1">
        <f t="shared" si="26"/>
        <v>0</v>
      </c>
      <c r="L145" s="8" t="s">
        <v>181</v>
      </c>
      <c r="M145" s="3"/>
      <c r="N145" s="10"/>
      <c r="O145" s="5" t="s">
        <v>180</v>
      </c>
      <c r="P145" s="10"/>
      <c r="Q145" s="10"/>
      <c r="R145" s="10"/>
      <c r="S145" s="10"/>
      <c r="U145" s="10"/>
      <c r="V145" s="10"/>
      <c r="W145" s="10"/>
      <c r="X145" s="18">
        <f t="shared" ca="1" si="27"/>
        <v>0</v>
      </c>
      <c r="Y145" s="18">
        <f t="shared" ca="1" si="28"/>
        <v>0</v>
      </c>
      <c r="Z145" s="18">
        <f t="shared" ca="1" si="29"/>
        <v>0</v>
      </c>
      <c r="AA145" s="18">
        <f t="shared" ca="1" si="30"/>
        <v>0</v>
      </c>
      <c r="AB145" s="18">
        <f t="shared" ca="1" si="31"/>
        <v>0</v>
      </c>
      <c r="AC145" s="18">
        <f t="shared" ca="1" si="32"/>
        <v>0</v>
      </c>
      <c r="AD145" s="18">
        <f t="shared" ca="1" si="33"/>
        <v>0</v>
      </c>
      <c r="AE145" s="10"/>
    </row>
    <row r="146" spans="1:31" ht="72" customHeight="1">
      <c r="A146" s="38" t="s">
        <v>114</v>
      </c>
      <c r="B146" s="8" t="s">
        <v>127</v>
      </c>
      <c r="C146" s="16"/>
      <c r="D146" s="17"/>
      <c r="E146" s="2"/>
      <c r="F146" s="2"/>
      <c r="G146" s="2"/>
      <c r="H146" s="2"/>
      <c r="I146" s="2"/>
      <c r="J146" s="17"/>
      <c r="K146" s="1">
        <f t="shared" si="26"/>
        <v>0</v>
      </c>
      <c r="L146" s="8" t="s">
        <v>181</v>
      </c>
      <c r="M146" s="3"/>
      <c r="N146" s="10"/>
      <c r="O146" s="5" t="s">
        <v>180</v>
      </c>
      <c r="P146" s="10"/>
      <c r="Q146" s="10"/>
      <c r="R146" s="10"/>
      <c r="S146" s="10"/>
      <c r="U146" s="10"/>
      <c r="V146" s="10"/>
      <c r="W146" s="10"/>
      <c r="X146" s="18">
        <f t="shared" ca="1" si="27"/>
        <v>0</v>
      </c>
      <c r="Y146" s="18">
        <f t="shared" ca="1" si="28"/>
        <v>0</v>
      </c>
      <c r="Z146" s="18">
        <f t="shared" ca="1" si="29"/>
        <v>0</v>
      </c>
      <c r="AA146" s="18">
        <f t="shared" ca="1" si="30"/>
        <v>0</v>
      </c>
      <c r="AB146" s="18">
        <f t="shared" ca="1" si="31"/>
        <v>0</v>
      </c>
      <c r="AC146" s="18">
        <f t="shared" ca="1" si="32"/>
        <v>0</v>
      </c>
      <c r="AD146" s="18">
        <f t="shared" ca="1" si="33"/>
        <v>0</v>
      </c>
      <c r="AE146" s="10"/>
    </row>
    <row r="147" spans="1:31" ht="72" customHeight="1">
      <c r="A147" s="38" t="s">
        <v>114</v>
      </c>
      <c r="B147" s="8" t="s">
        <v>128</v>
      </c>
      <c r="C147" s="16"/>
      <c r="D147" s="17"/>
      <c r="E147" s="2"/>
      <c r="F147" s="2"/>
      <c r="G147" s="2"/>
      <c r="H147" s="2"/>
      <c r="I147" s="2"/>
      <c r="J147" s="17"/>
      <c r="K147" s="1">
        <f t="shared" si="26"/>
        <v>0</v>
      </c>
      <c r="L147" s="8" t="s">
        <v>181</v>
      </c>
      <c r="M147" s="3"/>
      <c r="N147" s="10"/>
      <c r="O147" s="5" t="s">
        <v>180</v>
      </c>
      <c r="P147" s="10"/>
      <c r="Q147" s="10"/>
      <c r="R147" s="10"/>
      <c r="S147" s="10"/>
      <c r="U147" s="10"/>
      <c r="V147" s="10"/>
      <c r="W147" s="10"/>
      <c r="X147" s="18">
        <f t="shared" ca="1" si="27"/>
        <v>0</v>
      </c>
      <c r="Y147" s="18">
        <f t="shared" ca="1" si="28"/>
        <v>0</v>
      </c>
      <c r="Z147" s="18">
        <f t="shared" ca="1" si="29"/>
        <v>0</v>
      </c>
      <c r="AA147" s="18">
        <f t="shared" ca="1" si="30"/>
        <v>0</v>
      </c>
      <c r="AB147" s="18">
        <f t="shared" ca="1" si="31"/>
        <v>0</v>
      </c>
      <c r="AC147" s="18">
        <f t="shared" ca="1" si="32"/>
        <v>0</v>
      </c>
      <c r="AD147" s="18">
        <f t="shared" ca="1" si="33"/>
        <v>0</v>
      </c>
      <c r="AE147" s="10"/>
    </row>
    <row r="148" spans="1:31" ht="72" customHeight="1">
      <c r="A148" s="38" t="s">
        <v>114</v>
      </c>
      <c r="B148" s="8" t="s">
        <v>129</v>
      </c>
      <c r="C148" s="16"/>
      <c r="D148" s="17"/>
      <c r="E148" s="2"/>
      <c r="F148" s="2"/>
      <c r="G148" s="2"/>
      <c r="H148" s="2"/>
      <c r="I148" s="2"/>
      <c r="J148" s="17"/>
      <c r="K148" s="1">
        <f t="shared" si="26"/>
        <v>0</v>
      </c>
      <c r="L148" s="8" t="s">
        <v>181</v>
      </c>
      <c r="M148" s="3"/>
      <c r="N148" s="10"/>
      <c r="O148" s="5" t="s">
        <v>180</v>
      </c>
      <c r="P148" s="10"/>
      <c r="Q148" s="10"/>
      <c r="R148" s="10"/>
      <c r="S148" s="10"/>
      <c r="U148" s="10"/>
      <c r="V148" s="10"/>
      <c r="W148" s="10"/>
      <c r="X148" s="18">
        <f t="shared" ca="1" si="27"/>
        <v>0</v>
      </c>
      <c r="Y148" s="18">
        <f t="shared" ca="1" si="28"/>
        <v>0</v>
      </c>
      <c r="Z148" s="18">
        <f t="shared" ca="1" si="29"/>
        <v>0</v>
      </c>
      <c r="AA148" s="18">
        <f t="shared" ca="1" si="30"/>
        <v>0</v>
      </c>
      <c r="AB148" s="18">
        <f t="shared" ca="1" si="31"/>
        <v>0</v>
      </c>
      <c r="AC148" s="18">
        <f t="shared" ca="1" si="32"/>
        <v>0</v>
      </c>
      <c r="AD148" s="18">
        <f t="shared" ca="1" si="33"/>
        <v>0</v>
      </c>
      <c r="AE148" s="10"/>
    </row>
    <row r="149" spans="1:31" ht="72" customHeight="1">
      <c r="A149" s="38" t="s">
        <v>114</v>
      </c>
      <c r="B149" s="8" t="s">
        <v>130</v>
      </c>
      <c r="C149" s="16"/>
      <c r="D149" s="17"/>
      <c r="E149" s="2"/>
      <c r="F149" s="2"/>
      <c r="G149" s="2"/>
      <c r="H149" s="2"/>
      <c r="I149" s="2"/>
      <c r="J149" s="17"/>
      <c r="K149" s="1">
        <f t="shared" si="26"/>
        <v>0</v>
      </c>
      <c r="L149" s="8" t="s">
        <v>181</v>
      </c>
      <c r="M149" s="3"/>
      <c r="N149" s="10"/>
      <c r="O149" s="5" t="s">
        <v>180</v>
      </c>
      <c r="P149" s="10"/>
      <c r="Q149" s="10"/>
      <c r="R149" s="10"/>
      <c r="S149" s="10"/>
      <c r="U149" s="10"/>
      <c r="V149" s="10"/>
      <c r="W149" s="10"/>
      <c r="X149" s="18">
        <f t="shared" ca="1" si="27"/>
        <v>0</v>
      </c>
      <c r="Y149" s="18">
        <f t="shared" ca="1" si="28"/>
        <v>0</v>
      </c>
      <c r="Z149" s="18">
        <f t="shared" ca="1" si="29"/>
        <v>0</v>
      </c>
      <c r="AA149" s="18">
        <f t="shared" ca="1" si="30"/>
        <v>0</v>
      </c>
      <c r="AB149" s="18">
        <f t="shared" ca="1" si="31"/>
        <v>0</v>
      </c>
      <c r="AC149" s="18">
        <f t="shared" ca="1" si="32"/>
        <v>0</v>
      </c>
      <c r="AD149" s="18">
        <f t="shared" ca="1" si="33"/>
        <v>0</v>
      </c>
      <c r="AE149" s="10"/>
    </row>
    <row r="150" spans="1:31" ht="72" customHeight="1">
      <c r="A150" s="38" t="s">
        <v>114</v>
      </c>
      <c r="B150" s="8" t="s">
        <v>131</v>
      </c>
      <c r="C150" s="16"/>
      <c r="D150" s="17"/>
      <c r="E150" s="2"/>
      <c r="F150" s="2"/>
      <c r="G150" s="2"/>
      <c r="H150" s="2"/>
      <c r="I150" s="2"/>
      <c r="J150" s="17"/>
      <c r="K150" s="1">
        <f t="shared" si="26"/>
        <v>0</v>
      </c>
      <c r="L150" s="8" t="s">
        <v>181</v>
      </c>
      <c r="M150" s="3"/>
      <c r="N150" s="10"/>
      <c r="O150" s="5" t="s">
        <v>180</v>
      </c>
      <c r="P150" s="10"/>
      <c r="Q150" s="10"/>
      <c r="R150" s="10"/>
      <c r="S150" s="10"/>
      <c r="U150" s="10"/>
      <c r="V150" s="10"/>
      <c r="W150" s="10"/>
      <c r="X150" s="18">
        <f t="shared" ca="1" si="27"/>
        <v>0</v>
      </c>
      <c r="Y150" s="18">
        <f t="shared" ca="1" si="28"/>
        <v>0</v>
      </c>
      <c r="Z150" s="18">
        <f t="shared" ca="1" si="29"/>
        <v>0</v>
      </c>
      <c r="AA150" s="18">
        <f t="shared" ca="1" si="30"/>
        <v>0</v>
      </c>
      <c r="AB150" s="18">
        <f t="shared" ca="1" si="31"/>
        <v>0</v>
      </c>
      <c r="AC150" s="18">
        <f t="shared" ca="1" si="32"/>
        <v>0</v>
      </c>
      <c r="AD150" s="18">
        <f t="shared" ca="1" si="33"/>
        <v>0</v>
      </c>
      <c r="AE150" s="10"/>
    </row>
    <row r="151" spans="1:31" ht="72" customHeight="1">
      <c r="A151" s="38" t="s">
        <v>114</v>
      </c>
      <c r="B151" s="8" t="s">
        <v>132</v>
      </c>
      <c r="C151" s="16"/>
      <c r="D151" s="17"/>
      <c r="E151" s="2"/>
      <c r="F151" s="2"/>
      <c r="G151" s="2"/>
      <c r="H151" s="2"/>
      <c r="I151" s="2"/>
      <c r="J151" s="17"/>
      <c r="K151" s="1">
        <f t="shared" si="26"/>
        <v>0</v>
      </c>
      <c r="L151" s="8" t="s">
        <v>181</v>
      </c>
      <c r="M151" s="3"/>
      <c r="N151" s="10"/>
      <c r="O151" s="5" t="s">
        <v>180</v>
      </c>
      <c r="P151" s="10"/>
      <c r="Q151" s="10"/>
      <c r="R151" s="10"/>
      <c r="S151" s="10"/>
      <c r="U151" s="10"/>
      <c r="V151" s="10"/>
      <c r="W151" s="10"/>
      <c r="X151" s="18">
        <f t="shared" ca="1" si="27"/>
        <v>0</v>
      </c>
      <c r="Y151" s="18">
        <f t="shared" ca="1" si="28"/>
        <v>0</v>
      </c>
      <c r="Z151" s="18">
        <f t="shared" ca="1" si="29"/>
        <v>0</v>
      </c>
      <c r="AA151" s="18">
        <f t="shared" ca="1" si="30"/>
        <v>0</v>
      </c>
      <c r="AB151" s="18">
        <f t="shared" ca="1" si="31"/>
        <v>0</v>
      </c>
      <c r="AC151" s="18">
        <f t="shared" ca="1" si="32"/>
        <v>0</v>
      </c>
      <c r="AD151" s="18">
        <f t="shared" ca="1" si="33"/>
        <v>0</v>
      </c>
      <c r="AE151" s="10"/>
    </row>
    <row r="152" spans="1:31" ht="72" customHeight="1">
      <c r="A152" s="38" t="s">
        <v>114</v>
      </c>
      <c r="B152" s="8" t="s">
        <v>133</v>
      </c>
      <c r="C152" s="16"/>
      <c r="D152" s="17"/>
      <c r="E152" s="2"/>
      <c r="F152" s="2"/>
      <c r="G152" s="2"/>
      <c r="H152" s="2"/>
      <c r="I152" s="2"/>
      <c r="J152" s="17"/>
      <c r="K152" s="1">
        <f t="shared" si="26"/>
        <v>0</v>
      </c>
      <c r="L152" s="8" t="s">
        <v>181</v>
      </c>
      <c r="M152" s="3"/>
      <c r="N152" s="10"/>
      <c r="O152" s="5" t="s">
        <v>180</v>
      </c>
      <c r="P152" s="10"/>
      <c r="Q152" s="10"/>
      <c r="R152" s="10"/>
      <c r="S152" s="10"/>
      <c r="U152" s="10"/>
      <c r="V152" s="10"/>
      <c r="W152" s="10"/>
      <c r="X152" s="18">
        <f t="shared" ca="1" si="27"/>
        <v>0</v>
      </c>
      <c r="Y152" s="18">
        <f t="shared" ca="1" si="28"/>
        <v>0</v>
      </c>
      <c r="Z152" s="18">
        <f t="shared" ca="1" si="29"/>
        <v>0</v>
      </c>
      <c r="AA152" s="18">
        <f t="shared" ca="1" si="30"/>
        <v>0</v>
      </c>
      <c r="AB152" s="18">
        <f t="shared" ca="1" si="31"/>
        <v>0</v>
      </c>
      <c r="AC152" s="18">
        <f t="shared" ca="1" si="32"/>
        <v>0</v>
      </c>
      <c r="AD152" s="18">
        <f t="shared" ca="1" si="33"/>
        <v>0</v>
      </c>
      <c r="AE152" s="10"/>
    </row>
    <row r="153" spans="1:31" ht="72" customHeight="1">
      <c r="A153" s="38" t="s">
        <v>114</v>
      </c>
      <c r="B153" s="8" t="s">
        <v>134</v>
      </c>
      <c r="C153" s="16"/>
      <c r="D153" s="17"/>
      <c r="E153" s="2"/>
      <c r="F153" s="2"/>
      <c r="G153" s="2"/>
      <c r="H153" s="2"/>
      <c r="I153" s="2"/>
      <c r="J153" s="17"/>
      <c r="K153" s="1">
        <f t="shared" si="26"/>
        <v>0</v>
      </c>
      <c r="L153" s="8" t="s">
        <v>181</v>
      </c>
      <c r="M153" s="3"/>
      <c r="N153" s="10"/>
      <c r="O153" s="5" t="s">
        <v>180</v>
      </c>
      <c r="P153" s="10"/>
      <c r="Q153" s="10"/>
      <c r="R153" s="10"/>
      <c r="S153" s="10"/>
      <c r="U153" s="10"/>
      <c r="V153" s="10"/>
      <c r="W153" s="10"/>
      <c r="X153" s="18">
        <f t="shared" ca="1" si="27"/>
        <v>0</v>
      </c>
      <c r="Y153" s="18">
        <f t="shared" ca="1" si="28"/>
        <v>0</v>
      </c>
      <c r="Z153" s="18">
        <f t="shared" ca="1" si="29"/>
        <v>0</v>
      </c>
      <c r="AA153" s="18">
        <f t="shared" ca="1" si="30"/>
        <v>0</v>
      </c>
      <c r="AB153" s="18">
        <f t="shared" ca="1" si="31"/>
        <v>0</v>
      </c>
      <c r="AC153" s="18">
        <f t="shared" ca="1" si="32"/>
        <v>0</v>
      </c>
      <c r="AD153" s="18">
        <f t="shared" ca="1" si="33"/>
        <v>0</v>
      </c>
      <c r="AE153" s="10"/>
    </row>
    <row r="154" spans="1:31" ht="72" customHeight="1">
      <c r="A154" s="38" t="s">
        <v>114</v>
      </c>
      <c r="B154" s="8" t="s">
        <v>135</v>
      </c>
      <c r="C154" s="16"/>
      <c r="D154" s="17"/>
      <c r="E154" s="2"/>
      <c r="F154" s="2"/>
      <c r="G154" s="2"/>
      <c r="H154" s="2"/>
      <c r="I154" s="2"/>
      <c r="J154" s="17"/>
      <c r="K154" s="1">
        <f t="shared" si="26"/>
        <v>0</v>
      </c>
      <c r="L154" s="8" t="s">
        <v>181</v>
      </c>
      <c r="M154" s="3"/>
      <c r="N154" s="10"/>
      <c r="O154" s="5" t="s">
        <v>180</v>
      </c>
      <c r="P154" s="10"/>
      <c r="Q154" s="10"/>
      <c r="R154" s="10"/>
      <c r="S154" s="10"/>
      <c r="U154" s="10"/>
      <c r="V154" s="10"/>
      <c r="W154" s="10"/>
      <c r="X154" s="18">
        <f t="shared" ca="1" si="27"/>
        <v>0</v>
      </c>
      <c r="Y154" s="18">
        <f t="shared" ca="1" si="28"/>
        <v>0</v>
      </c>
      <c r="Z154" s="18">
        <f t="shared" ca="1" si="29"/>
        <v>0</v>
      </c>
      <c r="AA154" s="18">
        <f t="shared" ca="1" si="30"/>
        <v>0</v>
      </c>
      <c r="AB154" s="18">
        <f t="shared" ca="1" si="31"/>
        <v>0</v>
      </c>
      <c r="AC154" s="18">
        <f t="shared" ca="1" si="32"/>
        <v>0</v>
      </c>
      <c r="AD154" s="18">
        <f t="shared" ca="1" si="33"/>
        <v>0</v>
      </c>
      <c r="AE154" s="10"/>
    </row>
    <row r="155" spans="1:31" ht="72" customHeight="1">
      <c r="A155" s="38" t="s">
        <v>114</v>
      </c>
      <c r="B155" s="8" t="s">
        <v>136</v>
      </c>
      <c r="C155" s="16"/>
      <c r="D155" s="17"/>
      <c r="E155" s="2"/>
      <c r="F155" s="2"/>
      <c r="G155" s="2"/>
      <c r="H155" s="2"/>
      <c r="I155" s="2"/>
      <c r="J155" s="17"/>
      <c r="K155" s="1">
        <f t="shared" si="26"/>
        <v>0</v>
      </c>
      <c r="L155" s="8" t="s">
        <v>181</v>
      </c>
      <c r="M155" s="3"/>
      <c r="N155" s="10"/>
      <c r="O155" s="5" t="s">
        <v>180</v>
      </c>
      <c r="P155" s="10"/>
      <c r="Q155" s="10"/>
      <c r="R155" s="10"/>
      <c r="S155" s="10"/>
      <c r="U155" s="10"/>
      <c r="V155" s="10"/>
      <c r="W155" s="10"/>
      <c r="X155" s="18">
        <f t="shared" ca="1" si="27"/>
        <v>0</v>
      </c>
      <c r="Y155" s="18">
        <f t="shared" ca="1" si="28"/>
        <v>0</v>
      </c>
      <c r="Z155" s="18">
        <f t="shared" ca="1" si="29"/>
        <v>0</v>
      </c>
      <c r="AA155" s="18">
        <f t="shared" ca="1" si="30"/>
        <v>0</v>
      </c>
      <c r="AB155" s="18">
        <f t="shared" ca="1" si="31"/>
        <v>0</v>
      </c>
      <c r="AC155" s="18">
        <f t="shared" ca="1" si="32"/>
        <v>0</v>
      </c>
      <c r="AD155" s="18">
        <f t="shared" ca="1" si="33"/>
        <v>0</v>
      </c>
      <c r="AE155" s="10"/>
    </row>
    <row r="156" spans="1:31" ht="72" customHeight="1">
      <c r="A156" s="38" t="s">
        <v>114</v>
      </c>
      <c r="B156" s="8" t="s">
        <v>137</v>
      </c>
      <c r="C156" s="16"/>
      <c r="D156" s="17"/>
      <c r="E156" s="2"/>
      <c r="F156" s="2"/>
      <c r="G156" s="2"/>
      <c r="H156" s="2"/>
      <c r="I156" s="2"/>
      <c r="J156" s="17"/>
      <c r="K156" s="1">
        <f t="shared" si="26"/>
        <v>0</v>
      </c>
      <c r="L156" s="8" t="s">
        <v>181</v>
      </c>
      <c r="M156" s="3"/>
      <c r="N156" s="10"/>
      <c r="O156" s="5" t="s">
        <v>180</v>
      </c>
      <c r="P156" s="10"/>
      <c r="Q156" s="10"/>
      <c r="R156" s="10"/>
      <c r="S156" s="10"/>
      <c r="U156" s="10"/>
      <c r="V156" s="10"/>
      <c r="W156" s="10"/>
      <c r="X156" s="18">
        <f t="shared" ca="1" si="27"/>
        <v>0</v>
      </c>
      <c r="Y156" s="18">
        <f t="shared" ca="1" si="28"/>
        <v>0</v>
      </c>
      <c r="Z156" s="18">
        <f t="shared" ca="1" si="29"/>
        <v>0</v>
      </c>
      <c r="AA156" s="18">
        <f t="shared" ca="1" si="30"/>
        <v>0</v>
      </c>
      <c r="AB156" s="18">
        <f t="shared" ca="1" si="31"/>
        <v>0</v>
      </c>
      <c r="AC156" s="18">
        <f t="shared" ca="1" si="32"/>
        <v>0</v>
      </c>
      <c r="AD156" s="18">
        <f t="shared" ca="1" si="33"/>
        <v>0</v>
      </c>
      <c r="AE156" s="10"/>
    </row>
    <row r="157" spans="1:31" ht="72" customHeight="1">
      <c r="A157" s="38" t="s">
        <v>114</v>
      </c>
      <c r="B157" s="8" t="s">
        <v>138</v>
      </c>
      <c r="C157" s="16"/>
      <c r="D157" s="17"/>
      <c r="E157" s="2"/>
      <c r="F157" s="2"/>
      <c r="G157" s="2"/>
      <c r="H157" s="2"/>
      <c r="I157" s="2"/>
      <c r="J157" s="17"/>
      <c r="K157" s="1">
        <f t="shared" si="26"/>
        <v>0</v>
      </c>
      <c r="L157" s="8" t="s">
        <v>181</v>
      </c>
      <c r="M157" s="3"/>
      <c r="N157" s="10"/>
      <c r="O157" s="5" t="s">
        <v>180</v>
      </c>
      <c r="P157" s="10"/>
      <c r="Q157" s="10"/>
      <c r="R157" s="10"/>
      <c r="S157" s="10"/>
      <c r="U157" s="10"/>
      <c r="V157" s="10"/>
      <c r="W157" s="10"/>
      <c r="X157" s="18">
        <f t="shared" ca="1" si="27"/>
        <v>0</v>
      </c>
      <c r="Y157" s="18">
        <f t="shared" ca="1" si="28"/>
        <v>0</v>
      </c>
      <c r="Z157" s="18">
        <f t="shared" ca="1" si="29"/>
        <v>0</v>
      </c>
      <c r="AA157" s="18">
        <f t="shared" ca="1" si="30"/>
        <v>0</v>
      </c>
      <c r="AB157" s="18">
        <f t="shared" ca="1" si="31"/>
        <v>0</v>
      </c>
      <c r="AC157" s="18">
        <f t="shared" ca="1" si="32"/>
        <v>0</v>
      </c>
      <c r="AD157" s="18">
        <f t="shared" ca="1" si="33"/>
        <v>0</v>
      </c>
      <c r="AE157" s="10"/>
    </row>
    <row r="158" spans="1:31" ht="72" customHeight="1">
      <c r="A158" s="38" t="s">
        <v>114</v>
      </c>
      <c r="B158" s="8" t="s">
        <v>139</v>
      </c>
      <c r="C158" s="16"/>
      <c r="D158" s="17"/>
      <c r="E158" s="2"/>
      <c r="F158" s="2"/>
      <c r="G158" s="2"/>
      <c r="H158" s="2"/>
      <c r="I158" s="2"/>
      <c r="J158" s="17"/>
      <c r="K158" s="1">
        <f t="shared" si="26"/>
        <v>0</v>
      </c>
      <c r="L158" s="8" t="s">
        <v>181</v>
      </c>
      <c r="M158" s="3"/>
      <c r="N158" s="10"/>
      <c r="O158" s="5" t="s">
        <v>180</v>
      </c>
      <c r="P158" s="10"/>
      <c r="Q158" s="10"/>
      <c r="R158" s="10"/>
      <c r="S158" s="10"/>
      <c r="U158" s="10"/>
      <c r="V158" s="10"/>
      <c r="W158" s="10"/>
      <c r="X158" s="18">
        <f t="shared" ca="1" si="27"/>
        <v>0</v>
      </c>
      <c r="Y158" s="18">
        <f t="shared" ca="1" si="28"/>
        <v>0</v>
      </c>
      <c r="Z158" s="18">
        <f t="shared" ca="1" si="29"/>
        <v>0</v>
      </c>
      <c r="AA158" s="18">
        <f t="shared" ca="1" si="30"/>
        <v>0</v>
      </c>
      <c r="AB158" s="18">
        <f t="shared" ca="1" si="31"/>
        <v>0</v>
      </c>
      <c r="AC158" s="18">
        <f t="shared" ca="1" si="32"/>
        <v>0</v>
      </c>
      <c r="AD158" s="18">
        <f t="shared" ca="1" si="33"/>
        <v>0</v>
      </c>
      <c r="AE158" s="10"/>
    </row>
    <row r="159" spans="1:31" ht="72" customHeight="1">
      <c r="A159" s="38" t="s">
        <v>114</v>
      </c>
      <c r="B159" s="8" t="s">
        <v>140</v>
      </c>
      <c r="C159" s="16"/>
      <c r="D159" s="17"/>
      <c r="E159" s="2"/>
      <c r="F159" s="2"/>
      <c r="G159" s="2"/>
      <c r="H159" s="2"/>
      <c r="I159" s="2"/>
      <c r="J159" s="17"/>
      <c r="K159" s="1">
        <f t="shared" si="26"/>
        <v>0</v>
      </c>
      <c r="L159" s="8" t="s">
        <v>181</v>
      </c>
      <c r="M159" s="3"/>
      <c r="N159" s="10"/>
      <c r="O159" s="5" t="s">
        <v>180</v>
      </c>
      <c r="P159" s="10"/>
      <c r="Q159" s="10"/>
      <c r="R159" s="10"/>
      <c r="S159" s="10"/>
      <c r="U159" s="10"/>
      <c r="V159" s="10"/>
      <c r="W159" s="10"/>
      <c r="X159" s="18">
        <f t="shared" ca="1" si="27"/>
        <v>0</v>
      </c>
      <c r="Y159" s="18">
        <f t="shared" ca="1" si="28"/>
        <v>0</v>
      </c>
      <c r="Z159" s="18">
        <f t="shared" ca="1" si="29"/>
        <v>0</v>
      </c>
      <c r="AA159" s="18">
        <f t="shared" ca="1" si="30"/>
        <v>0</v>
      </c>
      <c r="AB159" s="18">
        <f t="shared" ca="1" si="31"/>
        <v>0</v>
      </c>
      <c r="AC159" s="18">
        <f t="shared" ca="1" si="32"/>
        <v>0</v>
      </c>
      <c r="AD159" s="18">
        <f t="shared" ca="1" si="33"/>
        <v>0</v>
      </c>
      <c r="AE159" s="10"/>
    </row>
    <row r="160" spans="1:31" ht="72" customHeight="1">
      <c r="A160" s="38" t="s">
        <v>114</v>
      </c>
      <c r="B160" s="8" t="s">
        <v>178</v>
      </c>
      <c r="C160" s="16"/>
      <c r="D160" s="17"/>
      <c r="E160" s="2"/>
      <c r="F160" s="2"/>
      <c r="G160" s="2"/>
      <c r="H160" s="2"/>
      <c r="I160" s="2"/>
      <c r="J160" s="17"/>
      <c r="K160" s="1">
        <f t="shared" si="26"/>
        <v>0</v>
      </c>
      <c r="L160" s="8" t="s">
        <v>181</v>
      </c>
      <c r="M160" s="3"/>
      <c r="N160" s="10"/>
      <c r="O160" s="5" t="s">
        <v>180</v>
      </c>
      <c r="P160" s="10"/>
      <c r="Q160" s="10"/>
      <c r="R160" s="10"/>
      <c r="S160" s="10"/>
      <c r="U160" s="10"/>
      <c r="V160" s="10"/>
      <c r="W160" s="10"/>
      <c r="X160" s="18">
        <f t="shared" ca="1" si="27"/>
        <v>0</v>
      </c>
      <c r="Y160" s="18">
        <f t="shared" ca="1" si="28"/>
        <v>0</v>
      </c>
      <c r="Z160" s="18">
        <f t="shared" ca="1" si="29"/>
        <v>0</v>
      </c>
      <c r="AA160" s="18">
        <f t="shared" ca="1" si="30"/>
        <v>0</v>
      </c>
      <c r="AB160" s="18">
        <f t="shared" ca="1" si="31"/>
        <v>0</v>
      </c>
      <c r="AC160" s="18">
        <f t="shared" ca="1" si="32"/>
        <v>0</v>
      </c>
      <c r="AD160" s="18">
        <f t="shared" ca="1" si="33"/>
        <v>0</v>
      </c>
      <c r="AE160" s="10"/>
    </row>
    <row r="161" spans="1:31" ht="72" customHeight="1">
      <c r="A161" s="38" t="s">
        <v>111</v>
      </c>
      <c r="B161" s="8" t="s">
        <v>117</v>
      </c>
      <c r="C161" s="16"/>
      <c r="D161" s="17"/>
      <c r="E161" s="2"/>
      <c r="F161" s="2"/>
      <c r="G161" s="2"/>
      <c r="H161" s="2"/>
      <c r="I161" s="2"/>
      <c r="J161" s="17"/>
      <c r="K161" s="1">
        <f t="shared" si="26"/>
        <v>0</v>
      </c>
      <c r="L161" s="8" t="s">
        <v>181</v>
      </c>
      <c r="M161" s="3"/>
      <c r="N161" s="10"/>
      <c r="O161" s="5" t="s">
        <v>180</v>
      </c>
      <c r="P161" s="10"/>
      <c r="Q161" s="10"/>
      <c r="R161" s="10"/>
      <c r="S161" s="10"/>
      <c r="U161" s="10"/>
      <c r="V161" s="10"/>
      <c r="W161" s="10"/>
      <c r="X161" s="18">
        <f t="shared" ca="1" si="27"/>
        <v>0</v>
      </c>
      <c r="Y161" s="18">
        <f t="shared" ca="1" si="28"/>
        <v>0</v>
      </c>
      <c r="Z161" s="18">
        <f t="shared" ca="1" si="29"/>
        <v>0</v>
      </c>
      <c r="AA161" s="18">
        <f t="shared" ca="1" si="30"/>
        <v>0</v>
      </c>
      <c r="AB161" s="18">
        <f t="shared" ca="1" si="31"/>
        <v>0</v>
      </c>
      <c r="AC161" s="18">
        <f t="shared" ca="1" si="32"/>
        <v>0</v>
      </c>
      <c r="AD161" s="18">
        <f t="shared" ca="1" si="33"/>
        <v>0</v>
      </c>
      <c r="AE161" s="10"/>
    </row>
    <row r="162" spans="1:31" ht="72" customHeight="1">
      <c r="A162" s="38" t="s">
        <v>111</v>
      </c>
      <c r="B162" s="8" t="s">
        <v>118</v>
      </c>
      <c r="C162" s="16"/>
      <c r="D162" s="17"/>
      <c r="E162" s="2"/>
      <c r="F162" s="2"/>
      <c r="G162" s="2"/>
      <c r="H162" s="2"/>
      <c r="I162" s="2"/>
      <c r="J162" s="17"/>
      <c r="K162" s="1">
        <f t="shared" si="26"/>
        <v>0</v>
      </c>
      <c r="L162" s="8" t="s">
        <v>181</v>
      </c>
      <c r="M162" s="3"/>
      <c r="N162" s="10"/>
      <c r="O162" s="5" t="s">
        <v>180</v>
      </c>
      <c r="P162" s="10"/>
      <c r="Q162" s="10"/>
      <c r="R162" s="10"/>
      <c r="S162" s="10"/>
      <c r="U162" s="10"/>
      <c r="V162" s="10"/>
      <c r="W162" s="10"/>
      <c r="X162" s="18">
        <f t="shared" ca="1" si="27"/>
        <v>0</v>
      </c>
      <c r="Y162" s="18">
        <f t="shared" ca="1" si="28"/>
        <v>0</v>
      </c>
      <c r="Z162" s="18">
        <f t="shared" ca="1" si="29"/>
        <v>0</v>
      </c>
      <c r="AA162" s="18">
        <f t="shared" ca="1" si="30"/>
        <v>0</v>
      </c>
      <c r="AB162" s="18">
        <f t="shared" ca="1" si="31"/>
        <v>0</v>
      </c>
      <c r="AC162" s="18">
        <f t="shared" ca="1" si="32"/>
        <v>0</v>
      </c>
      <c r="AD162" s="18">
        <f t="shared" ca="1" si="33"/>
        <v>0</v>
      </c>
      <c r="AE162" s="10"/>
    </row>
    <row r="163" spans="1:31" ht="72" customHeight="1">
      <c r="A163" s="38" t="s">
        <v>111</v>
      </c>
      <c r="B163" s="8" t="s">
        <v>119</v>
      </c>
      <c r="C163" s="16"/>
      <c r="D163" s="17"/>
      <c r="E163" s="2"/>
      <c r="F163" s="2"/>
      <c r="G163" s="2"/>
      <c r="H163" s="2"/>
      <c r="I163" s="2"/>
      <c r="J163" s="17"/>
      <c r="K163" s="1">
        <f t="shared" si="26"/>
        <v>0</v>
      </c>
      <c r="L163" s="8" t="s">
        <v>181</v>
      </c>
      <c r="M163" s="3"/>
      <c r="N163" s="10"/>
      <c r="O163" s="5" t="s">
        <v>180</v>
      </c>
      <c r="P163" s="10"/>
      <c r="Q163" s="10"/>
      <c r="R163" s="10"/>
      <c r="S163" s="10"/>
      <c r="U163" s="10"/>
      <c r="V163" s="10"/>
      <c r="W163" s="10"/>
      <c r="X163" s="18">
        <f t="shared" ca="1" si="27"/>
        <v>0</v>
      </c>
      <c r="Y163" s="18">
        <f t="shared" ca="1" si="28"/>
        <v>0</v>
      </c>
      <c r="Z163" s="18">
        <f t="shared" ca="1" si="29"/>
        <v>0</v>
      </c>
      <c r="AA163" s="18">
        <f t="shared" ca="1" si="30"/>
        <v>0</v>
      </c>
      <c r="AB163" s="18">
        <f t="shared" ca="1" si="31"/>
        <v>0</v>
      </c>
      <c r="AC163" s="18">
        <f t="shared" ca="1" si="32"/>
        <v>0</v>
      </c>
      <c r="AD163" s="18">
        <f t="shared" ca="1" si="33"/>
        <v>0</v>
      </c>
      <c r="AE163" s="10"/>
    </row>
    <row r="164" spans="1:31" ht="72" customHeight="1">
      <c r="A164" s="38" t="s">
        <v>111</v>
      </c>
      <c r="B164" s="8" t="s">
        <v>120</v>
      </c>
      <c r="C164" s="16"/>
      <c r="D164" s="17"/>
      <c r="E164" s="2"/>
      <c r="F164" s="2"/>
      <c r="G164" s="2"/>
      <c r="H164" s="2"/>
      <c r="I164" s="2"/>
      <c r="J164" s="17"/>
      <c r="K164" s="1">
        <f t="shared" si="26"/>
        <v>0</v>
      </c>
      <c r="L164" s="8" t="s">
        <v>181</v>
      </c>
      <c r="M164" s="3"/>
      <c r="N164" s="10"/>
      <c r="O164" s="5" t="s">
        <v>180</v>
      </c>
      <c r="P164" s="10"/>
      <c r="Q164" s="10"/>
      <c r="R164" s="10"/>
      <c r="S164" s="10"/>
      <c r="U164" s="10"/>
      <c r="V164" s="10"/>
      <c r="W164" s="10"/>
      <c r="X164" s="18">
        <f t="shared" ca="1" si="27"/>
        <v>0</v>
      </c>
      <c r="Y164" s="18">
        <f t="shared" ca="1" si="28"/>
        <v>0</v>
      </c>
      <c r="Z164" s="18">
        <f t="shared" ca="1" si="29"/>
        <v>0</v>
      </c>
      <c r="AA164" s="18">
        <f t="shared" ca="1" si="30"/>
        <v>0</v>
      </c>
      <c r="AB164" s="18">
        <f t="shared" ca="1" si="31"/>
        <v>0</v>
      </c>
      <c r="AC164" s="18">
        <f t="shared" ca="1" si="32"/>
        <v>0</v>
      </c>
      <c r="AD164" s="18">
        <f t="shared" ca="1" si="33"/>
        <v>0</v>
      </c>
      <c r="AE164" s="10"/>
    </row>
    <row r="165" spans="1:31" ht="72" customHeight="1">
      <c r="A165" s="38" t="s">
        <v>111</v>
      </c>
      <c r="B165" s="8" t="s">
        <v>121</v>
      </c>
      <c r="C165" s="16"/>
      <c r="D165" s="17"/>
      <c r="E165" s="2"/>
      <c r="F165" s="2"/>
      <c r="G165" s="2"/>
      <c r="H165" s="2"/>
      <c r="I165" s="2"/>
      <c r="J165" s="17"/>
      <c r="K165" s="1">
        <f t="shared" si="26"/>
        <v>0</v>
      </c>
      <c r="L165" s="8" t="s">
        <v>181</v>
      </c>
      <c r="M165" s="3"/>
      <c r="N165" s="10"/>
      <c r="O165" s="5" t="s">
        <v>180</v>
      </c>
      <c r="P165" s="10"/>
      <c r="Q165" s="10"/>
      <c r="R165" s="10"/>
      <c r="S165" s="10"/>
      <c r="U165" s="10"/>
      <c r="V165" s="10"/>
      <c r="W165" s="10"/>
      <c r="X165" s="18">
        <f t="shared" ca="1" si="27"/>
        <v>0</v>
      </c>
      <c r="Y165" s="18">
        <f t="shared" ca="1" si="28"/>
        <v>0</v>
      </c>
      <c r="Z165" s="18">
        <f t="shared" ca="1" si="29"/>
        <v>0</v>
      </c>
      <c r="AA165" s="18">
        <f t="shared" ca="1" si="30"/>
        <v>0</v>
      </c>
      <c r="AB165" s="18">
        <f t="shared" ca="1" si="31"/>
        <v>0</v>
      </c>
      <c r="AC165" s="18">
        <f t="shared" ca="1" si="32"/>
        <v>0</v>
      </c>
      <c r="AD165" s="18">
        <f t="shared" ca="1" si="33"/>
        <v>0</v>
      </c>
      <c r="AE165" s="10"/>
    </row>
    <row r="166" spans="1:31" ht="72" customHeight="1">
      <c r="A166" s="38" t="s">
        <v>111</v>
      </c>
      <c r="B166" s="8" t="s">
        <v>122</v>
      </c>
      <c r="C166" s="16"/>
      <c r="D166" s="17"/>
      <c r="E166" s="2"/>
      <c r="F166" s="2"/>
      <c r="G166" s="2"/>
      <c r="H166" s="2"/>
      <c r="I166" s="2"/>
      <c r="J166" s="17"/>
      <c r="K166" s="1">
        <f t="shared" si="26"/>
        <v>0</v>
      </c>
      <c r="L166" s="8" t="s">
        <v>181</v>
      </c>
      <c r="M166" s="3"/>
      <c r="N166" s="10"/>
      <c r="O166" s="5" t="s">
        <v>180</v>
      </c>
      <c r="P166" s="10"/>
      <c r="Q166" s="10"/>
      <c r="R166" s="10"/>
      <c r="S166" s="10"/>
      <c r="U166" s="10"/>
      <c r="V166" s="10"/>
      <c r="W166" s="10"/>
      <c r="X166" s="18">
        <f t="shared" ca="1" si="27"/>
        <v>0</v>
      </c>
      <c r="Y166" s="18">
        <f t="shared" ca="1" si="28"/>
        <v>0</v>
      </c>
      <c r="Z166" s="18">
        <f t="shared" ca="1" si="29"/>
        <v>0</v>
      </c>
      <c r="AA166" s="18">
        <f t="shared" ca="1" si="30"/>
        <v>0</v>
      </c>
      <c r="AB166" s="18">
        <f t="shared" ca="1" si="31"/>
        <v>0</v>
      </c>
      <c r="AC166" s="18">
        <f t="shared" ca="1" si="32"/>
        <v>0</v>
      </c>
      <c r="AD166" s="18">
        <f t="shared" ca="1" si="33"/>
        <v>0</v>
      </c>
      <c r="AE166" s="10"/>
    </row>
    <row r="167" spans="1:31" ht="72" customHeight="1">
      <c r="A167" s="38" t="s">
        <v>111</v>
      </c>
      <c r="B167" s="8" t="s">
        <v>123</v>
      </c>
      <c r="C167" s="16"/>
      <c r="D167" s="17"/>
      <c r="E167" s="2"/>
      <c r="F167" s="2"/>
      <c r="G167" s="2"/>
      <c r="H167" s="2"/>
      <c r="I167" s="2"/>
      <c r="J167" s="17"/>
      <c r="K167" s="1">
        <f t="shared" si="26"/>
        <v>0</v>
      </c>
      <c r="L167" s="8" t="s">
        <v>181</v>
      </c>
      <c r="M167" s="3"/>
      <c r="N167" s="10"/>
      <c r="O167" s="5" t="s">
        <v>180</v>
      </c>
      <c r="P167" s="10"/>
      <c r="Q167" s="10"/>
      <c r="R167" s="10"/>
      <c r="S167" s="10"/>
      <c r="U167" s="10"/>
      <c r="V167" s="10"/>
      <c r="W167" s="10"/>
      <c r="X167" s="18">
        <f t="shared" ca="1" si="27"/>
        <v>0</v>
      </c>
      <c r="Y167" s="18">
        <f t="shared" ca="1" si="28"/>
        <v>0</v>
      </c>
      <c r="Z167" s="18">
        <f t="shared" ca="1" si="29"/>
        <v>0</v>
      </c>
      <c r="AA167" s="18">
        <f t="shared" ca="1" si="30"/>
        <v>0</v>
      </c>
      <c r="AB167" s="18">
        <f t="shared" ca="1" si="31"/>
        <v>0</v>
      </c>
      <c r="AC167" s="18">
        <f t="shared" ca="1" si="32"/>
        <v>0</v>
      </c>
      <c r="AD167" s="18">
        <f t="shared" ca="1" si="33"/>
        <v>0</v>
      </c>
      <c r="AE167" s="10"/>
    </row>
    <row r="168" spans="1:31" ht="72" customHeight="1">
      <c r="A168" s="38" t="s">
        <v>111</v>
      </c>
      <c r="B168" s="8" t="s">
        <v>124</v>
      </c>
      <c r="C168" s="16"/>
      <c r="D168" s="17"/>
      <c r="E168" s="2"/>
      <c r="F168" s="2"/>
      <c r="G168" s="2"/>
      <c r="H168" s="2"/>
      <c r="I168" s="2"/>
      <c r="J168" s="17"/>
      <c r="K168" s="1">
        <f t="shared" si="26"/>
        <v>0</v>
      </c>
      <c r="L168" s="8" t="s">
        <v>181</v>
      </c>
      <c r="M168" s="3"/>
      <c r="N168" s="10"/>
      <c r="O168" s="5" t="s">
        <v>180</v>
      </c>
      <c r="P168" s="10"/>
      <c r="Q168" s="10"/>
      <c r="R168" s="10"/>
      <c r="S168" s="10"/>
      <c r="U168" s="10"/>
      <c r="V168" s="10"/>
      <c r="W168" s="10"/>
      <c r="X168" s="18">
        <f t="shared" ca="1" si="27"/>
        <v>0</v>
      </c>
      <c r="Y168" s="18">
        <f t="shared" ca="1" si="28"/>
        <v>0</v>
      </c>
      <c r="Z168" s="18">
        <f t="shared" ca="1" si="29"/>
        <v>0</v>
      </c>
      <c r="AA168" s="18">
        <f t="shared" ca="1" si="30"/>
        <v>0</v>
      </c>
      <c r="AB168" s="18">
        <f t="shared" ca="1" si="31"/>
        <v>0</v>
      </c>
      <c r="AC168" s="18">
        <f t="shared" ca="1" si="32"/>
        <v>0</v>
      </c>
      <c r="AD168" s="18">
        <f t="shared" ca="1" si="33"/>
        <v>0</v>
      </c>
      <c r="AE168" s="10"/>
    </row>
    <row r="169" spans="1:31" ht="72" customHeight="1">
      <c r="A169" s="38" t="s">
        <v>111</v>
      </c>
      <c r="B169" s="8" t="s">
        <v>125</v>
      </c>
      <c r="C169" s="16"/>
      <c r="D169" s="17"/>
      <c r="E169" s="2"/>
      <c r="F169" s="2"/>
      <c r="G169" s="2"/>
      <c r="H169" s="2"/>
      <c r="I169" s="2"/>
      <c r="J169" s="17"/>
      <c r="K169" s="1">
        <f t="shared" si="26"/>
        <v>0</v>
      </c>
      <c r="L169" s="8" t="s">
        <v>181</v>
      </c>
      <c r="M169" s="3"/>
      <c r="N169" s="10"/>
      <c r="O169" s="5" t="s">
        <v>180</v>
      </c>
      <c r="P169" s="10"/>
      <c r="Q169" s="10"/>
      <c r="R169" s="10"/>
      <c r="S169" s="10"/>
      <c r="U169" s="10"/>
      <c r="V169" s="10"/>
      <c r="W169" s="10"/>
      <c r="X169" s="18">
        <f t="shared" ca="1" si="27"/>
        <v>0</v>
      </c>
      <c r="Y169" s="18">
        <f t="shared" ca="1" si="28"/>
        <v>0</v>
      </c>
      <c r="Z169" s="18">
        <f t="shared" ca="1" si="29"/>
        <v>0</v>
      </c>
      <c r="AA169" s="18">
        <f t="shared" ca="1" si="30"/>
        <v>0</v>
      </c>
      <c r="AB169" s="18">
        <f t="shared" ca="1" si="31"/>
        <v>0</v>
      </c>
      <c r="AC169" s="18">
        <f t="shared" ca="1" si="32"/>
        <v>0</v>
      </c>
      <c r="AD169" s="18">
        <f t="shared" ca="1" si="33"/>
        <v>0</v>
      </c>
      <c r="AE169" s="10"/>
    </row>
    <row r="170" spans="1:31" ht="72" customHeight="1">
      <c r="A170" s="38" t="s">
        <v>111</v>
      </c>
      <c r="B170" s="8" t="s">
        <v>126</v>
      </c>
      <c r="C170" s="16"/>
      <c r="D170" s="17"/>
      <c r="E170" s="2"/>
      <c r="F170" s="2"/>
      <c r="G170" s="2"/>
      <c r="H170" s="2"/>
      <c r="I170" s="2"/>
      <c r="J170" s="17"/>
      <c r="K170" s="1">
        <f t="shared" si="26"/>
        <v>0</v>
      </c>
      <c r="L170" s="8" t="s">
        <v>181</v>
      </c>
      <c r="M170" s="3"/>
      <c r="N170" s="10"/>
      <c r="O170" s="5" t="s">
        <v>180</v>
      </c>
      <c r="P170" s="10"/>
      <c r="Q170" s="10"/>
      <c r="R170" s="10"/>
      <c r="S170" s="10"/>
      <c r="U170" s="10"/>
      <c r="V170" s="10"/>
      <c r="W170" s="10"/>
      <c r="X170" s="18">
        <f t="shared" ca="1" si="27"/>
        <v>0</v>
      </c>
      <c r="Y170" s="18">
        <f t="shared" ca="1" si="28"/>
        <v>0</v>
      </c>
      <c r="Z170" s="18">
        <f t="shared" ca="1" si="29"/>
        <v>0</v>
      </c>
      <c r="AA170" s="18">
        <f t="shared" ca="1" si="30"/>
        <v>0</v>
      </c>
      <c r="AB170" s="18">
        <f t="shared" ca="1" si="31"/>
        <v>0</v>
      </c>
      <c r="AC170" s="18">
        <f t="shared" ca="1" si="32"/>
        <v>0</v>
      </c>
      <c r="AD170" s="18">
        <f t="shared" ca="1" si="33"/>
        <v>0</v>
      </c>
      <c r="AE170" s="10"/>
    </row>
    <row r="171" spans="1:31" ht="72" customHeight="1">
      <c r="A171" s="38" t="s">
        <v>111</v>
      </c>
      <c r="B171" s="8" t="s">
        <v>127</v>
      </c>
      <c r="C171" s="16"/>
      <c r="D171" s="17"/>
      <c r="E171" s="2"/>
      <c r="F171" s="2"/>
      <c r="G171" s="2"/>
      <c r="H171" s="2"/>
      <c r="I171" s="2"/>
      <c r="J171" s="17"/>
      <c r="K171" s="1">
        <f t="shared" si="26"/>
        <v>0</v>
      </c>
      <c r="L171" s="8" t="s">
        <v>181</v>
      </c>
      <c r="M171" s="3"/>
      <c r="N171" s="10"/>
      <c r="O171" s="5" t="s">
        <v>180</v>
      </c>
      <c r="P171" s="10"/>
      <c r="Q171" s="10"/>
      <c r="R171" s="10"/>
      <c r="S171" s="10"/>
      <c r="U171" s="10"/>
      <c r="V171" s="10"/>
      <c r="W171" s="10"/>
      <c r="X171" s="18">
        <f t="shared" ca="1" si="27"/>
        <v>0</v>
      </c>
      <c r="Y171" s="18">
        <f t="shared" ca="1" si="28"/>
        <v>0</v>
      </c>
      <c r="Z171" s="18">
        <f t="shared" ca="1" si="29"/>
        <v>0</v>
      </c>
      <c r="AA171" s="18">
        <f t="shared" ca="1" si="30"/>
        <v>0</v>
      </c>
      <c r="AB171" s="18">
        <f t="shared" ca="1" si="31"/>
        <v>0</v>
      </c>
      <c r="AC171" s="18">
        <f t="shared" ca="1" si="32"/>
        <v>0</v>
      </c>
      <c r="AD171" s="18">
        <f t="shared" ca="1" si="33"/>
        <v>0</v>
      </c>
      <c r="AE171" s="10"/>
    </row>
    <row r="172" spans="1:31" ht="72" customHeight="1">
      <c r="A172" s="38" t="s">
        <v>111</v>
      </c>
      <c r="B172" s="8" t="s">
        <v>128</v>
      </c>
      <c r="C172" s="16"/>
      <c r="D172" s="17"/>
      <c r="E172" s="2"/>
      <c r="F172" s="2"/>
      <c r="G172" s="2"/>
      <c r="H172" s="2"/>
      <c r="I172" s="2"/>
      <c r="J172" s="17"/>
      <c r="K172" s="1">
        <f t="shared" si="26"/>
        <v>0</v>
      </c>
      <c r="L172" s="8" t="s">
        <v>181</v>
      </c>
      <c r="M172" s="3"/>
      <c r="N172" s="10"/>
      <c r="O172" s="5" t="s">
        <v>180</v>
      </c>
      <c r="P172" s="10"/>
      <c r="Q172" s="10"/>
      <c r="R172" s="10"/>
      <c r="S172" s="10"/>
      <c r="U172" s="10"/>
      <c r="V172" s="10"/>
      <c r="W172" s="10"/>
      <c r="X172" s="18">
        <f t="shared" ca="1" si="27"/>
        <v>0</v>
      </c>
      <c r="Y172" s="18">
        <f t="shared" ca="1" si="28"/>
        <v>0</v>
      </c>
      <c r="Z172" s="18">
        <f t="shared" ca="1" si="29"/>
        <v>0</v>
      </c>
      <c r="AA172" s="18">
        <f t="shared" ca="1" si="30"/>
        <v>0</v>
      </c>
      <c r="AB172" s="18">
        <f t="shared" ca="1" si="31"/>
        <v>0</v>
      </c>
      <c r="AC172" s="18">
        <f t="shared" ca="1" si="32"/>
        <v>0</v>
      </c>
      <c r="AD172" s="18">
        <f t="shared" ca="1" si="33"/>
        <v>0</v>
      </c>
      <c r="AE172" s="10"/>
    </row>
    <row r="173" spans="1:31" ht="72" customHeight="1">
      <c r="A173" s="38" t="s">
        <v>111</v>
      </c>
      <c r="B173" s="8" t="s">
        <v>129</v>
      </c>
      <c r="C173" s="16"/>
      <c r="D173" s="17"/>
      <c r="E173" s="2"/>
      <c r="F173" s="2"/>
      <c r="G173" s="2"/>
      <c r="H173" s="2"/>
      <c r="I173" s="2"/>
      <c r="J173" s="17"/>
      <c r="K173" s="1">
        <f t="shared" si="26"/>
        <v>0</v>
      </c>
      <c r="L173" s="8" t="s">
        <v>181</v>
      </c>
      <c r="M173" s="3"/>
      <c r="N173" s="10"/>
      <c r="O173" s="5" t="s">
        <v>180</v>
      </c>
      <c r="P173" s="10"/>
      <c r="Q173" s="10"/>
      <c r="R173" s="10"/>
      <c r="S173" s="10"/>
      <c r="U173" s="10"/>
      <c r="V173" s="10"/>
      <c r="W173" s="10"/>
      <c r="X173" s="18">
        <f t="shared" ca="1" si="27"/>
        <v>0</v>
      </c>
      <c r="Y173" s="18">
        <f t="shared" ca="1" si="28"/>
        <v>0</v>
      </c>
      <c r="Z173" s="18">
        <f t="shared" ca="1" si="29"/>
        <v>0</v>
      </c>
      <c r="AA173" s="18">
        <f t="shared" ca="1" si="30"/>
        <v>0</v>
      </c>
      <c r="AB173" s="18">
        <f t="shared" ca="1" si="31"/>
        <v>0</v>
      </c>
      <c r="AC173" s="18">
        <f t="shared" ca="1" si="32"/>
        <v>0</v>
      </c>
      <c r="AD173" s="18">
        <f t="shared" ca="1" si="33"/>
        <v>0</v>
      </c>
      <c r="AE173" s="10"/>
    </row>
    <row r="174" spans="1:31" ht="72" customHeight="1">
      <c r="A174" s="38" t="s">
        <v>111</v>
      </c>
      <c r="B174" s="8" t="s">
        <v>130</v>
      </c>
      <c r="C174" s="16"/>
      <c r="D174" s="17"/>
      <c r="E174" s="2"/>
      <c r="F174" s="2"/>
      <c r="G174" s="2"/>
      <c r="H174" s="2"/>
      <c r="I174" s="2"/>
      <c r="J174" s="17"/>
      <c r="K174" s="1">
        <f t="shared" si="26"/>
        <v>0</v>
      </c>
      <c r="L174" s="8" t="s">
        <v>181</v>
      </c>
      <c r="M174" s="3"/>
      <c r="N174" s="10"/>
      <c r="O174" s="5" t="s">
        <v>180</v>
      </c>
      <c r="P174" s="10"/>
      <c r="Q174" s="10"/>
      <c r="R174" s="10"/>
      <c r="S174" s="10"/>
      <c r="U174" s="10"/>
      <c r="V174" s="10"/>
      <c r="W174" s="10"/>
      <c r="X174" s="18">
        <f t="shared" ca="1" si="27"/>
        <v>0</v>
      </c>
      <c r="Y174" s="18">
        <f t="shared" ca="1" si="28"/>
        <v>0</v>
      </c>
      <c r="Z174" s="18">
        <f t="shared" ca="1" si="29"/>
        <v>0</v>
      </c>
      <c r="AA174" s="18">
        <f t="shared" ca="1" si="30"/>
        <v>0</v>
      </c>
      <c r="AB174" s="18">
        <f t="shared" ca="1" si="31"/>
        <v>0</v>
      </c>
      <c r="AC174" s="18">
        <f t="shared" ca="1" si="32"/>
        <v>0</v>
      </c>
      <c r="AD174" s="18">
        <f t="shared" ca="1" si="33"/>
        <v>0</v>
      </c>
      <c r="AE174" s="10"/>
    </row>
    <row r="175" spans="1:31" ht="72" customHeight="1">
      <c r="A175" s="38" t="s">
        <v>111</v>
      </c>
      <c r="B175" s="8" t="s">
        <v>131</v>
      </c>
      <c r="C175" s="16"/>
      <c r="D175" s="17"/>
      <c r="E175" s="2"/>
      <c r="F175" s="2"/>
      <c r="G175" s="2"/>
      <c r="H175" s="2"/>
      <c r="I175" s="2"/>
      <c r="J175" s="17"/>
      <c r="K175" s="1">
        <f t="shared" si="26"/>
        <v>0</v>
      </c>
      <c r="L175" s="8" t="s">
        <v>181</v>
      </c>
      <c r="M175" s="3"/>
      <c r="N175" s="10"/>
      <c r="O175" s="5" t="s">
        <v>180</v>
      </c>
      <c r="P175" s="10"/>
      <c r="Q175" s="10"/>
      <c r="R175" s="10"/>
      <c r="S175" s="10"/>
      <c r="U175" s="10"/>
      <c r="V175" s="10"/>
      <c r="W175" s="10"/>
      <c r="X175" s="18">
        <f t="shared" ca="1" si="27"/>
        <v>0</v>
      </c>
      <c r="Y175" s="18">
        <f t="shared" ca="1" si="28"/>
        <v>0</v>
      </c>
      <c r="Z175" s="18">
        <f t="shared" ca="1" si="29"/>
        <v>0</v>
      </c>
      <c r="AA175" s="18">
        <f t="shared" ca="1" si="30"/>
        <v>0</v>
      </c>
      <c r="AB175" s="18">
        <f t="shared" ca="1" si="31"/>
        <v>0</v>
      </c>
      <c r="AC175" s="18">
        <f t="shared" ca="1" si="32"/>
        <v>0</v>
      </c>
      <c r="AD175" s="18">
        <f t="shared" ca="1" si="33"/>
        <v>0</v>
      </c>
      <c r="AE175" s="10"/>
    </row>
    <row r="176" spans="1:31" ht="72" customHeight="1">
      <c r="A176" s="38" t="s">
        <v>111</v>
      </c>
      <c r="B176" s="8" t="s">
        <v>132</v>
      </c>
      <c r="C176" s="16"/>
      <c r="D176" s="17"/>
      <c r="E176" s="2"/>
      <c r="F176" s="2"/>
      <c r="G176" s="2"/>
      <c r="H176" s="2"/>
      <c r="I176" s="2"/>
      <c r="J176" s="17"/>
      <c r="K176" s="1">
        <f t="shared" si="26"/>
        <v>0</v>
      </c>
      <c r="L176" s="8" t="s">
        <v>181</v>
      </c>
      <c r="M176" s="3"/>
      <c r="N176" s="10"/>
      <c r="O176" s="5" t="s">
        <v>180</v>
      </c>
      <c r="P176" s="10"/>
      <c r="Q176" s="10"/>
      <c r="R176" s="10"/>
      <c r="S176" s="10"/>
      <c r="U176" s="10"/>
      <c r="V176" s="10"/>
      <c r="W176" s="10"/>
      <c r="X176" s="18">
        <f t="shared" ca="1" si="27"/>
        <v>0</v>
      </c>
      <c r="Y176" s="18">
        <f t="shared" ca="1" si="28"/>
        <v>0</v>
      </c>
      <c r="Z176" s="18">
        <f t="shared" ca="1" si="29"/>
        <v>0</v>
      </c>
      <c r="AA176" s="18">
        <f t="shared" ca="1" si="30"/>
        <v>0</v>
      </c>
      <c r="AB176" s="18">
        <f t="shared" ca="1" si="31"/>
        <v>0</v>
      </c>
      <c r="AC176" s="18">
        <f t="shared" ca="1" si="32"/>
        <v>0</v>
      </c>
      <c r="AD176" s="18">
        <f t="shared" ca="1" si="33"/>
        <v>0</v>
      </c>
      <c r="AE176" s="10"/>
    </row>
    <row r="177" spans="1:31" ht="72" customHeight="1">
      <c r="A177" s="38" t="s">
        <v>111</v>
      </c>
      <c r="B177" s="8" t="s">
        <v>133</v>
      </c>
      <c r="C177" s="16"/>
      <c r="D177" s="17"/>
      <c r="E177" s="2"/>
      <c r="F177" s="2"/>
      <c r="G177" s="2"/>
      <c r="H177" s="2"/>
      <c r="I177" s="2"/>
      <c r="J177" s="17"/>
      <c r="K177" s="1">
        <f t="shared" si="26"/>
        <v>0</v>
      </c>
      <c r="L177" s="8" t="s">
        <v>181</v>
      </c>
      <c r="M177" s="3"/>
      <c r="N177" s="10"/>
      <c r="O177" s="5" t="s">
        <v>180</v>
      </c>
      <c r="P177" s="10"/>
      <c r="Q177" s="10"/>
      <c r="R177" s="10"/>
      <c r="S177" s="10"/>
      <c r="U177" s="10"/>
      <c r="V177" s="10"/>
      <c r="W177" s="10"/>
      <c r="X177" s="18">
        <f t="shared" ca="1" si="27"/>
        <v>0</v>
      </c>
      <c r="Y177" s="18">
        <f t="shared" ca="1" si="28"/>
        <v>0</v>
      </c>
      <c r="Z177" s="18">
        <f t="shared" ca="1" si="29"/>
        <v>0</v>
      </c>
      <c r="AA177" s="18">
        <f t="shared" ca="1" si="30"/>
        <v>0</v>
      </c>
      <c r="AB177" s="18">
        <f t="shared" ca="1" si="31"/>
        <v>0</v>
      </c>
      <c r="AC177" s="18">
        <f t="shared" ca="1" si="32"/>
        <v>0</v>
      </c>
      <c r="AD177" s="18">
        <f t="shared" ca="1" si="33"/>
        <v>0</v>
      </c>
      <c r="AE177" s="10"/>
    </row>
    <row r="178" spans="1:31" ht="72" customHeight="1">
      <c r="A178" s="38" t="s">
        <v>111</v>
      </c>
      <c r="B178" s="8" t="s">
        <v>134</v>
      </c>
      <c r="C178" s="16"/>
      <c r="D178" s="17"/>
      <c r="E178" s="2"/>
      <c r="F178" s="2"/>
      <c r="G178" s="2"/>
      <c r="H178" s="2"/>
      <c r="I178" s="2"/>
      <c r="J178" s="17"/>
      <c r="K178" s="1">
        <f t="shared" si="26"/>
        <v>0</v>
      </c>
      <c r="L178" s="8" t="s">
        <v>181</v>
      </c>
      <c r="M178" s="3"/>
      <c r="N178" s="10"/>
      <c r="O178" s="5" t="s">
        <v>180</v>
      </c>
      <c r="P178" s="10"/>
      <c r="Q178" s="10"/>
      <c r="R178" s="10"/>
      <c r="S178" s="10"/>
      <c r="U178" s="10"/>
      <c r="V178" s="10"/>
      <c r="W178" s="10"/>
      <c r="X178" s="18">
        <f t="shared" ca="1" si="27"/>
        <v>0</v>
      </c>
      <c r="Y178" s="18">
        <f t="shared" ca="1" si="28"/>
        <v>0</v>
      </c>
      <c r="Z178" s="18">
        <f t="shared" ca="1" si="29"/>
        <v>0</v>
      </c>
      <c r="AA178" s="18">
        <f t="shared" ca="1" si="30"/>
        <v>0</v>
      </c>
      <c r="AB178" s="18">
        <f t="shared" ca="1" si="31"/>
        <v>0</v>
      </c>
      <c r="AC178" s="18">
        <f t="shared" ca="1" si="32"/>
        <v>0</v>
      </c>
      <c r="AD178" s="18">
        <f t="shared" ca="1" si="33"/>
        <v>0</v>
      </c>
      <c r="AE178" s="10"/>
    </row>
    <row r="179" spans="1:31" ht="72" customHeight="1">
      <c r="A179" s="38" t="s">
        <v>111</v>
      </c>
      <c r="B179" s="8" t="s">
        <v>135</v>
      </c>
      <c r="C179" s="16"/>
      <c r="D179" s="17"/>
      <c r="E179" s="2"/>
      <c r="F179" s="2"/>
      <c r="G179" s="2"/>
      <c r="H179" s="2"/>
      <c r="I179" s="2"/>
      <c r="J179" s="17"/>
      <c r="K179" s="1">
        <f t="shared" si="26"/>
        <v>0</v>
      </c>
      <c r="L179" s="8" t="s">
        <v>181</v>
      </c>
      <c r="M179" s="3"/>
      <c r="N179" s="10"/>
      <c r="O179" s="5" t="s">
        <v>180</v>
      </c>
      <c r="P179" s="10"/>
      <c r="Q179" s="10"/>
      <c r="R179" s="10"/>
      <c r="S179" s="10"/>
      <c r="U179" s="10"/>
      <c r="V179" s="10"/>
      <c r="W179" s="10"/>
      <c r="X179" s="18">
        <f t="shared" ca="1" si="27"/>
        <v>0</v>
      </c>
      <c r="Y179" s="18">
        <f t="shared" ca="1" si="28"/>
        <v>0</v>
      </c>
      <c r="Z179" s="18">
        <f t="shared" ca="1" si="29"/>
        <v>0</v>
      </c>
      <c r="AA179" s="18">
        <f t="shared" ca="1" si="30"/>
        <v>0</v>
      </c>
      <c r="AB179" s="18">
        <f t="shared" ca="1" si="31"/>
        <v>0</v>
      </c>
      <c r="AC179" s="18">
        <f t="shared" ca="1" si="32"/>
        <v>0</v>
      </c>
      <c r="AD179" s="18">
        <f t="shared" ca="1" si="33"/>
        <v>0</v>
      </c>
      <c r="AE179" s="10"/>
    </row>
    <row r="180" spans="1:31" ht="72" customHeight="1">
      <c r="A180" s="38" t="s">
        <v>111</v>
      </c>
      <c r="B180" s="8" t="s">
        <v>136</v>
      </c>
      <c r="C180" s="16"/>
      <c r="D180" s="17"/>
      <c r="E180" s="2"/>
      <c r="F180" s="2"/>
      <c r="G180" s="2"/>
      <c r="H180" s="2"/>
      <c r="I180" s="2"/>
      <c r="J180" s="17"/>
      <c r="K180" s="1">
        <f t="shared" si="26"/>
        <v>0</v>
      </c>
      <c r="L180" s="8" t="s">
        <v>181</v>
      </c>
      <c r="M180" s="3"/>
      <c r="N180" s="10"/>
      <c r="O180" s="5" t="s">
        <v>180</v>
      </c>
      <c r="P180" s="10"/>
      <c r="Q180" s="10"/>
      <c r="R180" s="10"/>
      <c r="S180" s="10"/>
      <c r="U180" s="10"/>
      <c r="V180" s="10"/>
      <c r="W180" s="10"/>
      <c r="X180" s="18">
        <f t="shared" ca="1" si="27"/>
        <v>0</v>
      </c>
      <c r="Y180" s="18">
        <f t="shared" ca="1" si="28"/>
        <v>0</v>
      </c>
      <c r="Z180" s="18">
        <f t="shared" ca="1" si="29"/>
        <v>0</v>
      </c>
      <c r="AA180" s="18">
        <f t="shared" ca="1" si="30"/>
        <v>0</v>
      </c>
      <c r="AB180" s="18">
        <f t="shared" ca="1" si="31"/>
        <v>0</v>
      </c>
      <c r="AC180" s="18">
        <f t="shared" ca="1" si="32"/>
        <v>0</v>
      </c>
      <c r="AD180" s="18">
        <f t="shared" ca="1" si="33"/>
        <v>0</v>
      </c>
      <c r="AE180" s="10"/>
    </row>
    <row r="181" spans="1:31" ht="72" customHeight="1">
      <c r="A181" s="38" t="s">
        <v>111</v>
      </c>
      <c r="B181" s="8" t="s">
        <v>137</v>
      </c>
      <c r="C181" s="16"/>
      <c r="D181" s="17"/>
      <c r="E181" s="2"/>
      <c r="F181" s="2"/>
      <c r="G181" s="2"/>
      <c r="H181" s="2"/>
      <c r="I181" s="2"/>
      <c r="J181" s="17"/>
      <c r="K181" s="1">
        <f t="shared" si="26"/>
        <v>0</v>
      </c>
      <c r="L181" s="8" t="s">
        <v>181</v>
      </c>
      <c r="M181" s="3"/>
      <c r="N181" s="10"/>
      <c r="O181" s="5" t="s">
        <v>180</v>
      </c>
      <c r="P181" s="10"/>
      <c r="Q181" s="10"/>
      <c r="R181" s="10"/>
      <c r="S181" s="10"/>
      <c r="U181" s="10"/>
      <c r="V181" s="10"/>
      <c r="W181" s="10"/>
      <c r="X181" s="18">
        <f t="shared" ca="1" si="27"/>
        <v>0</v>
      </c>
      <c r="Y181" s="18">
        <f t="shared" ca="1" si="28"/>
        <v>0</v>
      </c>
      <c r="Z181" s="18">
        <f t="shared" ca="1" si="29"/>
        <v>0</v>
      </c>
      <c r="AA181" s="18">
        <f t="shared" ca="1" si="30"/>
        <v>0</v>
      </c>
      <c r="AB181" s="18">
        <f t="shared" ca="1" si="31"/>
        <v>0</v>
      </c>
      <c r="AC181" s="18">
        <f t="shared" ca="1" si="32"/>
        <v>0</v>
      </c>
      <c r="AD181" s="18">
        <f t="shared" ca="1" si="33"/>
        <v>0</v>
      </c>
      <c r="AE181" s="10"/>
    </row>
    <row r="182" spans="1:31" ht="72" customHeight="1">
      <c r="A182" s="38" t="s">
        <v>111</v>
      </c>
      <c r="B182" s="8" t="s">
        <v>138</v>
      </c>
      <c r="C182" s="16"/>
      <c r="D182" s="17"/>
      <c r="E182" s="2"/>
      <c r="F182" s="2"/>
      <c r="G182" s="2"/>
      <c r="H182" s="2"/>
      <c r="I182" s="2"/>
      <c r="J182" s="17"/>
      <c r="K182" s="1">
        <f t="shared" si="26"/>
        <v>0</v>
      </c>
      <c r="L182" s="8" t="s">
        <v>181</v>
      </c>
      <c r="M182" s="3"/>
      <c r="N182" s="10"/>
      <c r="O182" s="5" t="s">
        <v>180</v>
      </c>
      <c r="P182" s="10"/>
      <c r="Q182" s="10"/>
      <c r="R182" s="10"/>
      <c r="S182" s="10"/>
      <c r="U182" s="10"/>
      <c r="V182" s="10"/>
      <c r="W182" s="10"/>
      <c r="X182" s="18">
        <f t="shared" ca="1" si="27"/>
        <v>0</v>
      </c>
      <c r="Y182" s="18">
        <f t="shared" ca="1" si="28"/>
        <v>0</v>
      </c>
      <c r="Z182" s="18">
        <f t="shared" ca="1" si="29"/>
        <v>0</v>
      </c>
      <c r="AA182" s="18">
        <f t="shared" ca="1" si="30"/>
        <v>0</v>
      </c>
      <c r="AB182" s="18">
        <f t="shared" ca="1" si="31"/>
        <v>0</v>
      </c>
      <c r="AC182" s="18">
        <f t="shared" ca="1" si="32"/>
        <v>0</v>
      </c>
      <c r="AD182" s="18">
        <f t="shared" ca="1" si="33"/>
        <v>0</v>
      </c>
      <c r="AE182" s="10"/>
    </row>
    <row r="183" spans="1:31" ht="72" customHeight="1">
      <c r="A183" s="38" t="s">
        <v>111</v>
      </c>
      <c r="B183" s="8" t="s">
        <v>139</v>
      </c>
      <c r="C183" s="16"/>
      <c r="D183" s="17"/>
      <c r="E183" s="2"/>
      <c r="F183" s="2"/>
      <c r="G183" s="2"/>
      <c r="H183" s="2"/>
      <c r="I183" s="2"/>
      <c r="J183" s="17"/>
      <c r="K183" s="1">
        <f t="shared" si="26"/>
        <v>0</v>
      </c>
      <c r="L183" s="8" t="s">
        <v>181</v>
      </c>
      <c r="M183" s="3"/>
      <c r="N183" s="10"/>
      <c r="O183" s="5" t="s">
        <v>180</v>
      </c>
      <c r="P183" s="10"/>
      <c r="Q183" s="10"/>
      <c r="R183" s="10"/>
      <c r="S183" s="10"/>
      <c r="U183" s="10"/>
      <c r="V183" s="10"/>
      <c r="W183" s="10"/>
      <c r="X183" s="18">
        <f t="shared" ca="1" si="27"/>
        <v>0</v>
      </c>
      <c r="Y183" s="18">
        <f t="shared" ca="1" si="28"/>
        <v>0</v>
      </c>
      <c r="Z183" s="18">
        <f t="shared" ca="1" si="29"/>
        <v>0</v>
      </c>
      <c r="AA183" s="18">
        <f t="shared" ca="1" si="30"/>
        <v>0</v>
      </c>
      <c r="AB183" s="18">
        <f t="shared" ca="1" si="31"/>
        <v>0</v>
      </c>
      <c r="AC183" s="18">
        <f t="shared" ca="1" si="32"/>
        <v>0</v>
      </c>
      <c r="AD183" s="18">
        <f t="shared" ca="1" si="33"/>
        <v>0</v>
      </c>
      <c r="AE183" s="10"/>
    </row>
    <row r="184" spans="1:31" ht="72" customHeight="1">
      <c r="A184" s="38" t="s">
        <v>111</v>
      </c>
      <c r="B184" s="8" t="s">
        <v>140</v>
      </c>
      <c r="C184" s="16"/>
      <c r="D184" s="17"/>
      <c r="E184" s="2"/>
      <c r="F184" s="2"/>
      <c r="G184" s="2"/>
      <c r="H184" s="2"/>
      <c r="I184" s="2"/>
      <c r="J184" s="17"/>
      <c r="K184" s="1">
        <f t="shared" si="26"/>
        <v>0</v>
      </c>
      <c r="L184" s="8" t="s">
        <v>181</v>
      </c>
      <c r="M184" s="3"/>
      <c r="N184" s="10"/>
      <c r="O184" s="5" t="s">
        <v>180</v>
      </c>
      <c r="P184" s="10"/>
      <c r="Q184" s="10"/>
      <c r="R184" s="10"/>
      <c r="S184" s="10"/>
      <c r="U184" s="10"/>
      <c r="V184" s="10"/>
      <c r="W184" s="10"/>
      <c r="X184" s="18">
        <f t="shared" ca="1" si="27"/>
        <v>0</v>
      </c>
      <c r="Y184" s="18">
        <f t="shared" ca="1" si="28"/>
        <v>0</v>
      </c>
      <c r="Z184" s="18">
        <f t="shared" ca="1" si="29"/>
        <v>0</v>
      </c>
      <c r="AA184" s="18">
        <f t="shared" ca="1" si="30"/>
        <v>0</v>
      </c>
      <c r="AB184" s="18">
        <f t="shared" ca="1" si="31"/>
        <v>0</v>
      </c>
      <c r="AC184" s="18">
        <f t="shared" ca="1" si="32"/>
        <v>0</v>
      </c>
      <c r="AD184" s="18">
        <f t="shared" ca="1" si="33"/>
        <v>0</v>
      </c>
      <c r="AE184" s="10"/>
    </row>
    <row r="185" spans="1:31" ht="72" customHeight="1">
      <c r="A185" s="38" t="s">
        <v>111</v>
      </c>
      <c r="B185" s="8" t="s">
        <v>178</v>
      </c>
      <c r="C185" s="16"/>
      <c r="D185" s="17"/>
      <c r="E185" s="2"/>
      <c r="F185" s="2"/>
      <c r="G185" s="2"/>
      <c r="H185" s="2"/>
      <c r="I185" s="2"/>
      <c r="J185" s="17"/>
      <c r="K185" s="1">
        <f t="shared" si="26"/>
        <v>0</v>
      </c>
      <c r="L185" s="8" t="s">
        <v>181</v>
      </c>
      <c r="M185" s="3"/>
      <c r="N185" s="10"/>
      <c r="O185" s="5" t="s">
        <v>180</v>
      </c>
      <c r="P185" s="10"/>
      <c r="Q185" s="10"/>
      <c r="R185" s="10"/>
      <c r="S185" s="10"/>
      <c r="U185" s="10"/>
      <c r="V185" s="10"/>
      <c r="W185" s="10"/>
      <c r="X185" s="18">
        <f t="shared" ca="1" si="27"/>
        <v>0</v>
      </c>
      <c r="Y185" s="18">
        <f t="shared" ca="1" si="28"/>
        <v>0</v>
      </c>
      <c r="Z185" s="18">
        <f t="shared" ca="1" si="29"/>
        <v>0</v>
      </c>
      <c r="AA185" s="18">
        <f t="shared" ca="1" si="30"/>
        <v>0</v>
      </c>
      <c r="AB185" s="18">
        <f t="shared" ca="1" si="31"/>
        <v>0</v>
      </c>
      <c r="AC185" s="18">
        <f t="shared" ca="1" si="32"/>
        <v>0</v>
      </c>
      <c r="AD185" s="18">
        <f t="shared" ca="1" si="33"/>
        <v>0</v>
      </c>
      <c r="AE185" s="10"/>
    </row>
    <row r="186" spans="1:31" ht="72" customHeight="1">
      <c r="A186" s="38" t="s">
        <v>112</v>
      </c>
      <c r="B186" s="8" t="s">
        <v>117</v>
      </c>
      <c r="C186" s="16"/>
      <c r="D186" s="17"/>
      <c r="E186" s="2"/>
      <c r="F186" s="2"/>
      <c r="G186" s="2"/>
      <c r="H186" s="2"/>
      <c r="I186" s="2"/>
      <c r="J186" s="17"/>
      <c r="K186" s="1">
        <f t="shared" si="26"/>
        <v>0</v>
      </c>
      <c r="L186" s="8" t="s">
        <v>181</v>
      </c>
      <c r="M186" s="3"/>
      <c r="N186" s="10"/>
      <c r="O186" s="5" t="s">
        <v>180</v>
      </c>
      <c r="P186" s="10"/>
      <c r="Q186" s="10"/>
      <c r="R186" s="10"/>
      <c r="S186" s="10"/>
      <c r="U186" s="10"/>
      <c r="V186" s="10"/>
      <c r="W186" s="10"/>
      <c r="X186" s="18">
        <f t="shared" ca="1" si="27"/>
        <v>0</v>
      </c>
      <c r="Y186" s="18">
        <f t="shared" ca="1" si="28"/>
        <v>0</v>
      </c>
      <c r="Z186" s="18">
        <f t="shared" ca="1" si="29"/>
        <v>0</v>
      </c>
      <c r="AA186" s="18">
        <f t="shared" ca="1" si="30"/>
        <v>0</v>
      </c>
      <c r="AB186" s="18">
        <f t="shared" ca="1" si="31"/>
        <v>0</v>
      </c>
      <c r="AC186" s="18">
        <f t="shared" ca="1" si="32"/>
        <v>0</v>
      </c>
      <c r="AD186" s="18">
        <f t="shared" ca="1" si="33"/>
        <v>0</v>
      </c>
      <c r="AE186" s="10"/>
    </row>
    <row r="187" spans="1:31" ht="72" customHeight="1">
      <c r="A187" s="38" t="s">
        <v>112</v>
      </c>
      <c r="B187" s="8" t="s">
        <v>118</v>
      </c>
      <c r="C187" s="16"/>
      <c r="D187" s="17"/>
      <c r="E187" s="2"/>
      <c r="F187" s="2"/>
      <c r="G187" s="2"/>
      <c r="H187" s="2"/>
      <c r="I187" s="2"/>
      <c r="J187" s="17"/>
      <c r="K187" s="1">
        <f t="shared" si="26"/>
        <v>0</v>
      </c>
      <c r="L187" s="8" t="s">
        <v>181</v>
      </c>
      <c r="M187" s="3"/>
      <c r="N187" s="10"/>
      <c r="O187" s="5" t="s">
        <v>180</v>
      </c>
      <c r="P187" s="10"/>
      <c r="Q187" s="10"/>
      <c r="R187" s="10"/>
      <c r="S187" s="10"/>
      <c r="U187" s="10"/>
      <c r="V187" s="10"/>
      <c r="W187" s="10"/>
      <c r="X187" s="18">
        <f t="shared" ca="1" si="27"/>
        <v>0</v>
      </c>
      <c r="Y187" s="18">
        <f t="shared" ca="1" si="28"/>
        <v>0</v>
      </c>
      <c r="Z187" s="18">
        <f t="shared" ca="1" si="29"/>
        <v>0</v>
      </c>
      <c r="AA187" s="18">
        <f t="shared" ca="1" si="30"/>
        <v>0</v>
      </c>
      <c r="AB187" s="18">
        <f t="shared" ca="1" si="31"/>
        <v>0</v>
      </c>
      <c r="AC187" s="18">
        <f t="shared" ca="1" si="32"/>
        <v>0</v>
      </c>
      <c r="AD187" s="18">
        <f t="shared" ca="1" si="33"/>
        <v>0</v>
      </c>
      <c r="AE187" s="10"/>
    </row>
    <row r="188" spans="1:31" ht="72" customHeight="1">
      <c r="A188" s="38" t="s">
        <v>112</v>
      </c>
      <c r="B188" s="8" t="s">
        <v>119</v>
      </c>
      <c r="C188" s="16"/>
      <c r="D188" s="17"/>
      <c r="E188" s="2"/>
      <c r="F188" s="2"/>
      <c r="G188" s="2"/>
      <c r="H188" s="2"/>
      <c r="I188" s="2"/>
      <c r="J188" s="17"/>
      <c r="K188" s="1">
        <f t="shared" si="26"/>
        <v>0</v>
      </c>
      <c r="L188" s="8" t="s">
        <v>181</v>
      </c>
      <c r="M188" s="3"/>
      <c r="N188" s="10"/>
      <c r="O188" s="5" t="s">
        <v>180</v>
      </c>
      <c r="P188" s="10"/>
      <c r="Q188" s="10"/>
      <c r="R188" s="10"/>
      <c r="S188" s="10"/>
      <c r="U188" s="10"/>
      <c r="V188" s="10"/>
      <c r="W188" s="10"/>
      <c r="X188" s="18">
        <f t="shared" ca="1" si="27"/>
        <v>0</v>
      </c>
      <c r="Y188" s="18">
        <f t="shared" ca="1" si="28"/>
        <v>0</v>
      </c>
      <c r="Z188" s="18">
        <f t="shared" ca="1" si="29"/>
        <v>0</v>
      </c>
      <c r="AA188" s="18">
        <f t="shared" ca="1" si="30"/>
        <v>0</v>
      </c>
      <c r="AB188" s="18">
        <f t="shared" ca="1" si="31"/>
        <v>0</v>
      </c>
      <c r="AC188" s="18">
        <f t="shared" ca="1" si="32"/>
        <v>0</v>
      </c>
      <c r="AD188" s="18">
        <f t="shared" ca="1" si="33"/>
        <v>0</v>
      </c>
      <c r="AE188" s="10"/>
    </row>
    <row r="189" spans="1:31" ht="72" customHeight="1">
      <c r="A189" s="38" t="s">
        <v>112</v>
      </c>
      <c r="B189" s="8" t="s">
        <v>120</v>
      </c>
      <c r="C189" s="16"/>
      <c r="D189" s="17"/>
      <c r="E189" s="2"/>
      <c r="F189" s="2"/>
      <c r="G189" s="2"/>
      <c r="H189" s="2"/>
      <c r="I189" s="2"/>
      <c r="J189" s="17"/>
      <c r="K189" s="1">
        <f t="shared" si="26"/>
        <v>0</v>
      </c>
      <c r="L189" s="8" t="s">
        <v>181</v>
      </c>
      <c r="M189" s="3"/>
      <c r="N189" s="10"/>
      <c r="O189" s="5" t="s">
        <v>180</v>
      </c>
      <c r="P189" s="10"/>
      <c r="Q189" s="10"/>
      <c r="R189" s="10"/>
      <c r="S189" s="10"/>
      <c r="U189" s="10"/>
      <c r="V189" s="10"/>
      <c r="W189" s="10"/>
      <c r="X189" s="18">
        <f t="shared" ca="1" si="27"/>
        <v>0</v>
      </c>
      <c r="Y189" s="18">
        <f t="shared" ca="1" si="28"/>
        <v>0</v>
      </c>
      <c r="Z189" s="18">
        <f t="shared" ca="1" si="29"/>
        <v>0</v>
      </c>
      <c r="AA189" s="18">
        <f t="shared" ca="1" si="30"/>
        <v>0</v>
      </c>
      <c r="AB189" s="18">
        <f t="shared" ca="1" si="31"/>
        <v>0</v>
      </c>
      <c r="AC189" s="18">
        <f t="shared" ca="1" si="32"/>
        <v>0</v>
      </c>
      <c r="AD189" s="18">
        <f t="shared" ca="1" si="33"/>
        <v>0</v>
      </c>
      <c r="AE189" s="10"/>
    </row>
    <row r="190" spans="1:31" ht="72" customHeight="1">
      <c r="A190" s="38" t="s">
        <v>112</v>
      </c>
      <c r="B190" s="8" t="s">
        <v>121</v>
      </c>
      <c r="C190" s="16"/>
      <c r="D190" s="17"/>
      <c r="E190" s="2"/>
      <c r="F190" s="2"/>
      <c r="G190" s="2"/>
      <c r="H190" s="2"/>
      <c r="I190" s="2"/>
      <c r="J190" s="17"/>
      <c r="K190" s="1">
        <f t="shared" si="26"/>
        <v>0</v>
      </c>
      <c r="L190" s="8" t="s">
        <v>181</v>
      </c>
      <c r="M190" s="3"/>
      <c r="N190" s="10"/>
      <c r="O190" s="5" t="s">
        <v>180</v>
      </c>
      <c r="P190" s="10"/>
      <c r="Q190" s="10"/>
      <c r="R190" s="10"/>
      <c r="S190" s="10"/>
      <c r="U190" s="10"/>
      <c r="V190" s="10"/>
      <c r="W190" s="10"/>
      <c r="X190" s="18">
        <f t="shared" ca="1" si="27"/>
        <v>0</v>
      </c>
      <c r="Y190" s="18">
        <f t="shared" ca="1" si="28"/>
        <v>0</v>
      </c>
      <c r="Z190" s="18">
        <f t="shared" ca="1" si="29"/>
        <v>0</v>
      </c>
      <c r="AA190" s="18">
        <f t="shared" ca="1" si="30"/>
        <v>0</v>
      </c>
      <c r="AB190" s="18">
        <f t="shared" ca="1" si="31"/>
        <v>0</v>
      </c>
      <c r="AC190" s="18">
        <f t="shared" ca="1" si="32"/>
        <v>0</v>
      </c>
      <c r="AD190" s="18">
        <f t="shared" ca="1" si="33"/>
        <v>0</v>
      </c>
      <c r="AE190" s="10"/>
    </row>
    <row r="191" spans="1:31" ht="72" customHeight="1">
      <c r="A191" s="38" t="s">
        <v>112</v>
      </c>
      <c r="B191" s="8" t="s">
        <v>122</v>
      </c>
      <c r="C191" s="16"/>
      <c r="D191" s="17"/>
      <c r="E191" s="2"/>
      <c r="F191" s="2"/>
      <c r="G191" s="2"/>
      <c r="H191" s="2"/>
      <c r="I191" s="2"/>
      <c r="J191" s="17"/>
      <c r="K191" s="1">
        <f t="shared" si="26"/>
        <v>0</v>
      </c>
      <c r="L191" s="8" t="s">
        <v>181</v>
      </c>
      <c r="M191" s="3"/>
      <c r="N191" s="10"/>
      <c r="O191" s="5" t="s">
        <v>180</v>
      </c>
      <c r="P191" s="10"/>
      <c r="Q191" s="10"/>
      <c r="R191" s="10"/>
      <c r="S191" s="10"/>
      <c r="U191" s="10"/>
      <c r="V191" s="10"/>
      <c r="W191" s="10"/>
      <c r="X191" s="18">
        <f t="shared" ca="1" si="27"/>
        <v>0</v>
      </c>
      <c r="Y191" s="18">
        <f t="shared" ca="1" si="28"/>
        <v>0</v>
      </c>
      <c r="Z191" s="18">
        <f t="shared" ca="1" si="29"/>
        <v>0</v>
      </c>
      <c r="AA191" s="18">
        <f t="shared" ca="1" si="30"/>
        <v>0</v>
      </c>
      <c r="AB191" s="18">
        <f t="shared" ca="1" si="31"/>
        <v>0</v>
      </c>
      <c r="AC191" s="18">
        <f t="shared" ca="1" si="32"/>
        <v>0</v>
      </c>
      <c r="AD191" s="18">
        <f t="shared" ca="1" si="33"/>
        <v>0</v>
      </c>
      <c r="AE191" s="10"/>
    </row>
    <row r="192" spans="1:31" ht="72" customHeight="1">
      <c r="A192" s="38" t="s">
        <v>112</v>
      </c>
      <c r="B192" s="8" t="s">
        <v>123</v>
      </c>
      <c r="C192" s="16"/>
      <c r="D192" s="17"/>
      <c r="E192" s="2"/>
      <c r="F192" s="2"/>
      <c r="G192" s="2"/>
      <c r="H192" s="2"/>
      <c r="I192" s="2"/>
      <c r="J192" s="17"/>
      <c r="K192" s="1">
        <f t="shared" si="26"/>
        <v>0</v>
      </c>
      <c r="L192" s="8" t="s">
        <v>181</v>
      </c>
      <c r="M192" s="3"/>
      <c r="N192" s="10"/>
      <c r="O192" s="5" t="s">
        <v>180</v>
      </c>
      <c r="P192" s="10"/>
      <c r="Q192" s="10"/>
      <c r="R192" s="10"/>
      <c r="S192" s="10"/>
      <c r="U192" s="10"/>
      <c r="V192" s="10"/>
      <c r="W192" s="10"/>
      <c r="X192" s="18">
        <f t="shared" ca="1" si="27"/>
        <v>0</v>
      </c>
      <c r="Y192" s="18">
        <f t="shared" ca="1" si="28"/>
        <v>0</v>
      </c>
      <c r="Z192" s="18">
        <f t="shared" ca="1" si="29"/>
        <v>0</v>
      </c>
      <c r="AA192" s="18">
        <f t="shared" ca="1" si="30"/>
        <v>0</v>
      </c>
      <c r="AB192" s="18">
        <f t="shared" ca="1" si="31"/>
        <v>0</v>
      </c>
      <c r="AC192" s="18">
        <f t="shared" ca="1" si="32"/>
        <v>0</v>
      </c>
      <c r="AD192" s="18">
        <f t="shared" ca="1" si="33"/>
        <v>0</v>
      </c>
      <c r="AE192" s="10"/>
    </row>
    <row r="193" spans="1:31" ht="72" customHeight="1">
      <c r="A193" s="38" t="s">
        <v>112</v>
      </c>
      <c r="B193" s="8" t="s">
        <v>124</v>
      </c>
      <c r="C193" s="16"/>
      <c r="D193" s="17"/>
      <c r="E193" s="2"/>
      <c r="F193" s="2"/>
      <c r="G193" s="2"/>
      <c r="H193" s="2"/>
      <c r="I193" s="2"/>
      <c r="J193" s="17"/>
      <c r="K193" s="1">
        <f t="shared" si="26"/>
        <v>0</v>
      </c>
      <c r="L193" s="8" t="s">
        <v>181</v>
      </c>
      <c r="M193" s="3"/>
      <c r="N193" s="10"/>
      <c r="O193" s="5" t="s">
        <v>180</v>
      </c>
      <c r="P193" s="10"/>
      <c r="Q193" s="10"/>
      <c r="R193" s="10"/>
      <c r="S193" s="10"/>
      <c r="U193" s="10"/>
      <c r="V193" s="10"/>
      <c r="W193" s="10"/>
      <c r="X193" s="18">
        <f t="shared" ca="1" si="27"/>
        <v>0</v>
      </c>
      <c r="Y193" s="18">
        <f t="shared" ca="1" si="28"/>
        <v>0</v>
      </c>
      <c r="Z193" s="18">
        <f t="shared" ca="1" si="29"/>
        <v>0</v>
      </c>
      <c r="AA193" s="18">
        <f t="shared" ca="1" si="30"/>
        <v>0</v>
      </c>
      <c r="AB193" s="18">
        <f t="shared" ca="1" si="31"/>
        <v>0</v>
      </c>
      <c r="AC193" s="18">
        <f t="shared" ca="1" si="32"/>
        <v>0</v>
      </c>
      <c r="AD193" s="18">
        <f t="shared" ca="1" si="33"/>
        <v>0</v>
      </c>
      <c r="AE193" s="10"/>
    </row>
    <row r="194" spans="1:31" ht="72" customHeight="1">
      <c r="A194" s="38" t="s">
        <v>112</v>
      </c>
      <c r="B194" s="8" t="s">
        <v>125</v>
      </c>
      <c r="C194" s="16"/>
      <c r="D194" s="17"/>
      <c r="E194" s="2"/>
      <c r="F194" s="2"/>
      <c r="G194" s="2"/>
      <c r="H194" s="2"/>
      <c r="I194" s="2"/>
      <c r="J194" s="17"/>
      <c r="K194" s="1">
        <f t="shared" si="26"/>
        <v>0</v>
      </c>
      <c r="L194" s="8" t="s">
        <v>181</v>
      </c>
      <c r="M194" s="3"/>
      <c r="N194" s="10"/>
      <c r="O194" s="5" t="s">
        <v>180</v>
      </c>
      <c r="P194" s="10"/>
      <c r="Q194" s="10"/>
      <c r="R194" s="10"/>
      <c r="S194" s="10"/>
      <c r="U194" s="10"/>
      <c r="V194" s="10"/>
      <c r="W194" s="10"/>
      <c r="X194" s="18">
        <f t="shared" ca="1" si="27"/>
        <v>0</v>
      </c>
      <c r="Y194" s="18">
        <f t="shared" ca="1" si="28"/>
        <v>0</v>
      </c>
      <c r="Z194" s="18">
        <f t="shared" ca="1" si="29"/>
        <v>0</v>
      </c>
      <c r="AA194" s="18">
        <f t="shared" ca="1" si="30"/>
        <v>0</v>
      </c>
      <c r="AB194" s="18">
        <f t="shared" ca="1" si="31"/>
        <v>0</v>
      </c>
      <c r="AC194" s="18">
        <f t="shared" ca="1" si="32"/>
        <v>0</v>
      </c>
      <c r="AD194" s="18">
        <f t="shared" ca="1" si="33"/>
        <v>0</v>
      </c>
      <c r="AE194" s="10"/>
    </row>
    <row r="195" spans="1:31" ht="72" customHeight="1">
      <c r="A195" s="38" t="s">
        <v>112</v>
      </c>
      <c r="B195" s="8" t="s">
        <v>126</v>
      </c>
      <c r="C195" s="16"/>
      <c r="D195" s="17"/>
      <c r="E195" s="2"/>
      <c r="F195" s="2"/>
      <c r="G195" s="2"/>
      <c r="H195" s="2"/>
      <c r="I195" s="2"/>
      <c r="J195" s="17"/>
      <c r="K195" s="1">
        <f t="shared" si="26"/>
        <v>0</v>
      </c>
      <c r="L195" s="8" t="s">
        <v>181</v>
      </c>
      <c r="M195" s="3"/>
      <c r="N195" s="10"/>
      <c r="O195" s="5" t="s">
        <v>180</v>
      </c>
      <c r="P195" s="10"/>
      <c r="Q195" s="10"/>
      <c r="R195" s="10"/>
      <c r="S195" s="10"/>
      <c r="U195" s="10"/>
      <c r="V195" s="10"/>
      <c r="W195" s="10"/>
      <c r="X195" s="18">
        <f t="shared" ca="1" si="27"/>
        <v>0</v>
      </c>
      <c r="Y195" s="18">
        <f t="shared" ca="1" si="28"/>
        <v>0</v>
      </c>
      <c r="Z195" s="18">
        <f t="shared" ca="1" si="29"/>
        <v>0</v>
      </c>
      <c r="AA195" s="18">
        <f t="shared" ca="1" si="30"/>
        <v>0</v>
      </c>
      <c r="AB195" s="18">
        <f t="shared" ca="1" si="31"/>
        <v>0</v>
      </c>
      <c r="AC195" s="18">
        <f t="shared" ca="1" si="32"/>
        <v>0</v>
      </c>
      <c r="AD195" s="18">
        <f t="shared" ca="1" si="33"/>
        <v>0</v>
      </c>
      <c r="AE195" s="10"/>
    </row>
    <row r="196" spans="1:31" ht="72" customHeight="1">
      <c r="A196" s="38" t="s">
        <v>112</v>
      </c>
      <c r="B196" s="8" t="s">
        <v>127</v>
      </c>
      <c r="C196" s="16"/>
      <c r="D196" s="17"/>
      <c r="E196" s="2"/>
      <c r="F196" s="2"/>
      <c r="G196" s="2"/>
      <c r="H196" s="2"/>
      <c r="I196" s="2"/>
      <c r="J196" s="17"/>
      <c r="K196" s="1">
        <f t="shared" si="26"/>
        <v>0</v>
      </c>
      <c r="L196" s="8" t="s">
        <v>181</v>
      </c>
      <c r="M196" s="3"/>
      <c r="N196" s="10"/>
      <c r="O196" s="5" t="s">
        <v>180</v>
      </c>
      <c r="P196" s="10"/>
      <c r="Q196" s="10"/>
      <c r="R196" s="10"/>
      <c r="S196" s="10"/>
      <c r="U196" s="10"/>
      <c r="V196" s="10"/>
      <c r="W196" s="10"/>
      <c r="X196" s="18">
        <f t="shared" ca="1" si="27"/>
        <v>0</v>
      </c>
      <c r="Y196" s="18">
        <f t="shared" ca="1" si="28"/>
        <v>0</v>
      </c>
      <c r="Z196" s="18">
        <f t="shared" ca="1" si="29"/>
        <v>0</v>
      </c>
      <c r="AA196" s="18">
        <f t="shared" ca="1" si="30"/>
        <v>0</v>
      </c>
      <c r="AB196" s="18">
        <f t="shared" ca="1" si="31"/>
        <v>0</v>
      </c>
      <c r="AC196" s="18">
        <f t="shared" ca="1" si="32"/>
        <v>0</v>
      </c>
      <c r="AD196" s="18">
        <f t="shared" ca="1" si="33"/>
        <v>0</v>
      </c>
      <c r="AE196" s="10"/>
    </row>
    <row r="197" spans="1:31" ht="72" customHeight="1">
      <c r="A197" s="38" t="s">
        <v>112</v>
      </c>
      <c r="B197" s="8" t="s">
        <v>128</v>
      </c>
      <c r="C197" s="16"/>
      <c r="D197" s="17"/>
      <c r="E197" s="2"/>
      <c r="F197" s="2"/>
      <c r="G197" s="2"/>
      <c r="H197" s="2"/>
      <c r="I197" s="2"/>
      <c r="J197" s="17"/>
      <c r="K197" s="1">
        <f t="shared" si="26"/>
        <v>0</v>
      </c>
      <c r="L197" s="8" t="s">
        <v>181</v>
      </c>
      <c r="M197" s="3"/>
      <c r="N197" s="10"/>
      <c r="O197" s="5" t="s">
        <v>180</v>
      </c>
      <c r="P197" s="10"/>
      <c r="Q197" s="10"/>
      <c r="R197" s="10"/>
      <c r="S197" s="10"/>
      <c r="U197" s="10"/>
      <c r="V197" s="10"/>
      <c r="W197" s="10"/>
      <c r="X197" s="18">
        <f t="shared" ca="1" si="27"/>
        <v>0</v>
      </c>
      <c r="Y197" s="18">
        <f t="shared" ca="1" si="28"/>
        <v>0</v>
      </c>
      <c r="Z197" s="18">
        <f t="shared" ca="1" si="29"/>
        <v>0</v>
      </c>
      <c r="AA197" s="18">
        <f t="shared" ca="1" si="30"/>
        <v>0</v>
      </c>
      <c r="AB197" s="18">
        <f t="shared" ca="1" si="31"/>
        <v>0</v>
      </c>
      <c r="AC197" s="18">
        <f t="shared" ca="1" si="32"/>
        <v>0</v>
      </c>
      <c r="AD197" s="18">
        <f t="shared" ca="1" si="33"/>
        <v>0</v>
      </c>
      <c r="AE197" s="10"/>
    </row>
    <row r="198" spans="1:31" ht="72" customHeight="1">
      <c r="A198" s="38" t="s">
        <v>112</v>
      </c>
      <c r="B198" s="8" t="s">
        <v>129</v>
      </c>
      <c r="C198" s="16"/>
      <c r="D198" s="17"/>
      <c r="E198" s="2"/>
      <c r="F198" s="2"/>
      <c r="G198" s="2"/>
      <c r="H198" s="2"/>
      <c r="I198" s="2"/>
      <c r="J198" s="17"/>
      <c r="K198" s="1">
        <f t="shared" si="26"/>
        <v>0</v>
      </c>
      <c r="L198" s="8" t="s">
        <v>181</v>
      </c>
      <c r="M198" s="3"/>
      <c r="N198" s="10"/>
      <c r="O198" s="5" t="s">
        <v>180</v>
      </c>
      <c r="P198" s="10"/>
      <c r="Q198" s="10"/>
      <c r="R198" s="10"/>
      <c r="S198" s="10"/>
      <c r="U198" s="10"/>
      <c r="V198" s="10"/>
      <c r="W198" s="10"/>
      <c r="X198" s="18">
        <f t="shared" ca="1" si="27"/>
        <v>0</v>
      </c>
      <c r="Y198" s="18">
        <f t="shared" ca="1" si="28"/>
        <v>0</v>
      </c>
      <c r="Z198" s="18">
        <f t="shared" ca="1" si="29"/>
        <v>0</v>
      </c>
      <c r="AA198" s="18">
        <f t="shared" ca="1" si="30"/>
        <v>0</v>
      </c>
      <c r="AB198" s="18">
        <f t="shared" ca="1" si="31"/>
        <v>0</v>
      </c>
      <c r="AC198" s="18">
        <f t="shared" ca="1" si="32"/>
        <v>0</v>
      </c>
      <c r="AD198" s="18">
        <f t="shared" ca="1" si="33"/>
        <v>0</v>
      </c>
      <c r="AE198" s="10"/>
    </row>
    <row r="199" spans="1:31" ht="72" customHeight="1">
      <c r="A199" s="38" t="s">
        <v>112</v>
      </c>
      <c r="B199" s="8" t="s">
        <v>130</v>
      </c>
      <c r="C199" s="16"/>
      <c r="D199" s="17"/>
      <c r="E199" s="2"/>
      <c r="F199" s="2"/>
      <c r="G199" s="2"/>
      <c r="H199" s="2"/>
      <c r="I199" s="2"/>
      <c r="J199" s="17"/>
      <c r="K199" s="1">
        <f t="shared" si="26"/>
        <v>0</v>
      </c>
      <c r="L199" s="8" t="s">
        <v>181</v>
      </c>
      <c r="M199" s="3"/>
      <c r="N199" s="10"/>
      <c r="O199" s="5" t="s">
        <v>180</v>
      </c>
      <c r="P199" s="10"/>
      <c r="Q199" s="10"/>
      <c r="R199" s="10"/>
      <c r="S199" s="10"/>
      <c r="U199" s="10"/>
      <c r="V199" s="10"/>
      <c r="W199" s="10"/>
      <c r="X199" s="18">
        <f t="shared" ca="1" si="27"/>
        <v>0</v>
      </c>
      <c r="Y199" s="18">
        <f t="shared" ca="1" si="28"/>
        <v>0</v>
      </c>
      <c r="Z199" s="18">
        <f t="shared" ca="1" si="29"/>
        <v>0</v>
      </c>
      <c r="AA199" s="18">
        <f t="shared" ca="1" si="30"/>
        <v>0</v>
      </c>
      <c r="AB199" s="18">
        <f t="shared" ca="1" si="31"/>
        <v>0</v>
      </c>
      <c r="AC199" s="18">
        <f t="shared" ca="1" si="32"/>
        <v>0</v>
      </c>
      <c r="AD199" s="18">
        <f t="shared" ca="1" si="33"/>
        <v>0</v>
      </c>
      <c r="AE199" s="10"/>
    </row>
    <row r="200" spans="1:31" ht="72" customHeight="1">
      <c r="A200" s="38" t="s">
        <v>112</v>
      </c>
      <c r="B200" s="8" t="s">
        <v>131</v>
      </c>
      <c r="C200" s="16"/>
      <c r="D200" s="17"/>
      <c r="E200" s="2"/>
      <c r="F200" s="2"/>
      <c r="G200" s="2"/>
      <c r="H200" s="2"/>
      <c r="I200" s="2"/>
      <c r="J200" s="17"/>
      <c r="K200" s="1">
        <f t="shared" si="26"/>
        <v>0</v>
      </c>
      <c r="L200" s="8" t="s">
        <v>181</v>
      </c>
      <c r="M200" s="3"/>
      <c r="N200" s="10"/>
      <c r="O200" s="5" t="s">
        <v>180</v>
      </c>
      <c r="P200" s="10"/>
      <c r="Q200" s="10"/>
      <c r="R200" s="10"/>
      <c r="S200" s="10"/>
      <c r="U200" s="10"/>
      <c r="V200" s="10"/>
      <c r="W200" s="10"/>
      <c r="X200" s="18">
        <f t="shared" ca="1" si="27"/>
        <v>0</v>
      </c>
      <c r="Y200" s="18">
        <f t="shared" ca="1" si="28"/>
        <v>0</v>
      </c>
      <c r="Z200" s="18">
        <f t="shared" ca="1" si="29"/>
        <v>0</v>
      </c>
      <c r="AA200" s="18">
        <f t="shared" ca="1" si="30"/>
        <v>0</v>
      </c>
      <c r="AB200" s="18">
        <f t="shared" ca="1" si="31"/>
        <v>0</v>
      </c>
      <c r="AC200" s="18">
        <f t="shared" ca="1" si="32"/>
        <v>0</v>
      </c>
      <c r="AD200" s="18">
        <f t="shared" ca="1" si="33"/>
        <v>0</v>
      </c>
      <c r="AE200" s="10"/>
    </row>
    <row r="201" spans="1:31" ht="72" customHeight="1">
      <c r="A201" s="38" t="s">
        <v>112</v>
      </c>
      <c r="B201" s="8" t="s">
        <v>132</v>
      </c>
      <c r="C201" s="16"/>
      <c r="D201" s="17"/>
      <c r="E201" s="2"/>
      <c r="F201" s="2"/>
      <c r="G201" s="2"/>
      <c r="H201" s="2"/>
      <c r="I201" s="2"/>
      <c r="J201" s="17"/>
      <c r="K201" s="1">
        <f t="shared" si="26"/>
        <v>0</v>
      </c>
      <c r="L201" s="8" t="s">
        <v>181</v>
      </c>
      <c r="M201" s="3"/>
      <c r="N201" s="10"/>
      <c r="O201" s="5" t="s">
        <v>180</v>
      </c>
      <c r="P201" s="10"/>
      <c r="Q201" s="10"/>
      <c r="R201" s="10"/>
      <c r="S201" s="10"/>
      <c r="U201" s="10"/>
      <c r="V201" s="10"/>
      <c r="W201" s="10"/>
      <c r="X201" s="18">
        <f t="shared" ca="1" si="27"/>
        <v>0</v>
      </c>
      <c r="Y201" s="18">
        <f t="shared" ca="1" si="28"/>
        <v>0</v>
      </c>
      <c r="Z201" s="18">
        <f t="shared" ca="1" si="29"/>
        <v>0</v>
      </c>
      <c r="AA201" s="18">
        <f t="shared" ca="1" si="30"/>
        <v>0</v>
      </c>
      <c r="AB201" s="18">
        <f t="shared" ca="1" si="31"/>
        <v>0</v>
      </c>
      <c r="AC201" s="18">
        <f t="shared" ca="1" si="32"/>
        <v>0</v>
      </c>
      <c r="AD201" s="18">
        <f t="shared" ca="1" si="33"/>
        <v>0</v>
      </c>
      <c r="AE201" s="10"/>
    </row>
    <row r="202" spans="1:31" ht="72" customHeight="1">
      <c r="A202" s="38" t="s">
        <v>112</v>
      </c>
      <c r="B202" s="8" t="s">
        <v>133</v>
      </c>
      <c r="C202" s="16"/>
      <c r="D202" s="17"/>
      <c r="E202" s="2"/>
      <c r="F202" s="2"/>
      <c r="G202" s="2"/>
      <c r="H202" s="2"/>
      <c r="I202" s="2"/>
      <c r="J202" s="17"/>
      <c r="K202" s="1">
        <f t="shared" si="26"/>
        <v>0</v>
      </c>
      <c r="L202" s="8" t="s">
        <v>181</v>
      </c>
      <c r="M202" s="3"/>
      <c r="N202" s="10"/>
      <c r="O202" s="5" t="s">
        <v>180</v>
      </c>
      <c r="P202" s="10"/>
      <c r="Q202" s="10"/>
      <c r="R202" s="10"/>
      <c r="S202" s="10"/>
      <c r="U202" s="10"/>
      <c r="V202" s="10"/>
      <c r="W202" s="10"/>
      <c r="X202" s="18">
        <f t="shared" ca="1" si="27"/>
        <v>0</v>
      </c>
      <c r="Y202" s="18">
        <f t="shared" ca="1" si="28"/>
        <v>0</v>
      </c>
      <c r="Z202" s="18">
        <f t="shared" ca="1" si="29"/>
        <v>0</v>
      </c>
      <c r="AA202" s="18">
        <f t="shared" ca="1" si="30"/>
        <v>0</v>
      </c>
      <c r="AB202" s="18">
        <f t="shared" ca="1" si="31"/>
        <v>0</v>
      </c>
      <c r="AC202" s="18">
        <f t="shared" ca="1" si="32"/>
        <v>0</v>
      </c>
      <c r="AD202" s="18">
        <f t="shared" ca="1" si="33"/>
        <v>0</v>
      </c>
      <c r="AE202" s="10"/>
    </row>
    <row r="203" spans="1:31" ht="72" customHeight="1">
      <c r="A203" s="38" t="s">
        <v>112</v>
      </c>
      <c r="B203" s="8" t="s">
        <v>134</v>
      </c>
      <c r="C203" s="16"/>
      <c r="D203" s="17"/>
      <c r="E203" s="2"/>
      <c r="F203" s="2"/>
      <c r="G203" s="2"/>
      <c r="H203" s="2"/>
      <c r="I203" s="2"/>
      <c r="J203" s="17"/>
      <c r="K203" s="1">
        <f t="shared" ref="K203:K266" si="34">SUM(D203:J203)</f>
        <v>0</v>
      </c>
      <c r="L203" s="8" t="s">
        <v>181</v>
      </c>
      <c r="M203" s="3"/>
      <c r="N203" s="10"/>
      <c r="O203" s="5" t="s">
        <v>180</v>
      </c>
      <c r="P203" s="10"/>
      <c r="Q203" s="10"/>
      <c r="R203" s="10"/>
      <c r="S203" s="10"/>
      <c r="U203" s="10"/>
      <c r="V203" s="10"/>
      <c r="W203" s="10"/>
      <c r="X203" s="18">
        <f t="shared" ca="1" si="27"/>
        <v>0</v>
      </c>
      <c r="Y203" s="18">
        <f t="shared" ca="1" si="28"/>
        <v>0</v>
      </c>
      <c r="Z203" s="18">
        <f t="shared" ca="1" si="29"/>
        <v>0</v>
      </c>
      <c r="AA203" s="18">
        <f t="shared" ca="1" si="30"/>
        <v>0</v>
      </c>
      <c r="AB203" s="18">
        <f t="shared" ca="1" si="31"/>
        <v>0</v>
      </c>
      <c r="AC203" s="18">
        <f t="shared" ca="1" si="32"/>
        <v>0</v>
      </c>
      <c r="AD203" s="18">
        <f t="shared" ca="1" si="33"/>
        <v>0</v>
      </c>
      <c r="AE203" s="10"/>
    </row>
    <row r="204" spans="1:31" ht="72" customHeight="1">
      <c r="A204" s="38" t="s">
        <v>112</v>
      </c>
      <c r="B204" s="8" t="s">
        <v>135</v>
      </c>
      <c r="C204" s="16"/>
      <c r="D204" s="17"/>
      <c r="E204" s="2"/>
      <c r="F204" s="2"/>
      <c r="G204" s="2"/>
      <c r="H204" s="2"/>
      <c r="I204" s="2"/>
      <c r="J204" s="17"/>
      <c r="K204" s="1">
        <f t="shared" si="34"/>
        <v>0</v>
      </c>
      <c r="L204" s="8" t="s">
        <v>181</v>
      </c>
      <c r="M204" s="3"/>
      <c r="N204" s="10"/>
      <c r="O204" s="5" t="s">
        <v>180</v>
      </c>
      <c r="P204" s="10"/>
      <c r="Q204" s="10"/>
      <c r="R204" s="10"/>
      <c r="S204" s="10"/>
      <c r="U204" s="10"/>
      <c r="V204" s="10"/>
      <c r="W204" s="10"/>
      <c r="X204" s="18">
        <f t="shared" ref="X204:X267" ca="1" si="35">LEN(IFERROR(_xlfn.FORMULATEXT(D204),""))-LEN(SUBSTITUTE(IFERROR(_xlfn.FORMULATEXT(D204),""),"=",""))+LEN(IFERROR(_xlfn.FORMULATEXT(D204),""))-LEN(SUBSTITUTE(IFERROR(_xlfn.FORMULATEXT(D204),""),"+",""))</f>
        <v>0</v>
      </c>
      <c r="Y204" s="18">
        <f t="shared" ref="Y204:Y267" ca="1" si="36">LEN(IFERROR(_xlfn.FORMULATEXT(E204),""))-LEN(SUBSTITUTE(IFERROR(_xlfn.FORMULATEXT(E204),""),"=",""))+LEN(IFERROR(_xlfn.FORMULATEXT(E204),""))-LEN(SUBSTITUTE(IFERROR(_xlfn.FORMULATEXT(E204),""),"+",""))</f>
        <v>0</v>
      </c>
      <c r="Z204" s="18">
        <f t="shared" ref="Z204:Z267" ca="1" si="37">LEN(IFERROR(_xlfn.FORMULATEXT(F204),""))-LEN(SUBSTITUTE(IFERROR(_xlfn.FORMULATEXT(F204),""),"=",""))+LEN(IFERROR(_xlfn.FORMULATEXT(F204),""))-LEN(SUBSTITUTE(IFERROR(_xlfn.FORMULATEXT(F204),""),"+",""))</f>
        <v>0</v>
      </c>
      <c r="AA204" s="18">
        <f t="shared" ref="AA204:AA267" ca="1" si="38">LEN(IFERROR(_xlfn.FORMULATEXT(G204),""))-LEN(SUBSTITUTE(IFERROR(_xlfn.FORMULATEXT(G204),""),"=",""))+LEN(IFERROR(_xlfn.FORMULATEXT(G204),""))-LEN(SUBSTITUTE(IFERROR(_xlfn.FORMULATEXT(G204),""),"+",""))</f>
        <v>0</v>
      </c>
      <c r="AB204" s="18">
        <f t="shared" ref="AB204:AB267" ca="1" si="39">LEN(IFERROR(_xlfn.FORMULATEXT(H204),""))-LEN(SUBSTITUTE(IFERROR(_xlfn.FORMULATEXT(H204),""),"=",""))+LEN(IFERROR(_xlfn.FORMULATEXT(H204),""))-LEN(SUBSTITUTE(IFERROR(_xlfn.FORMULATEXT(H204),""),"+",""))</f>
        <v>0</v>
      </c>
      <c r="AC204" s="18">
        <f t="shared" ref="AC204:AC267" ca="1" si="40">LEN(IFERROR(_xlfn.FORMULATEXT(I204),""))-LEN(SUBSTITUTE(IFERROR(_xlfn.FORMULATEXT(I204),""),"=",""))+LEN(IFERROR(_xlfn.FORMULATEXT(I204),""))-LEN(SUBSTITUTE(IFERROR(_xlfn.FORMULATEXT(I204),""),"+",""))</f>
        <v>0</v>
      </c>
      <c r="AD204" s="18">
        <f t="shared" ref="AD204:AD267" ca="1" si="41">LEN(IFERROR(_xlfn.FORMULATEXT(J204),""))-LEN(SUBSTITUTE(IFERROR(_xlfn.FORMULATEXT(J204),""),"=",""))+LEN(IFERROR(_xlfn.FORMULATEXT(J204),""))-LEN(SUBSTITUTE(IFERROR(_xlfn.FORMULATEXT(J204),""),"+",""))</f>
        <v>0</v>
      </c>
      <c r="AE204" s="10"/>
    </row>
    <row r="205" spans="1:31" ht="72" customHeight="1">
      <c r="A205" s="38" t="s">
        <v>112</v>
      </c>
      <c r="B205" s="8" t="s">
        <v>136</v>
      </c>
      <c r="C205" s="16"/>
      <c r="D205" s="17"/>
      <c r="E205" s="2"/>
      <c r="F205" s="2"/>
      <c r="G205" s="2"/>
      <c r="H205" s="2"/>
      <c r="I205" s="2"/>
      <c r="J205" s="17"/>
      <c r="K205" s="1">
        <f t="shared" si="34"/>
        <v>0</v>
      </c>
      <c r="L205" s="8" t="s">
        <v>181</v>
      </c>
      <c r="M205" s="3"/>
      <c r="N205" s="10"/>
      <c r="O205" s="5" t="s">
        <v>180</v>
      </c>
      <c r="P205" s="10"/>
      <c r="Q205" s="10"/>
      <c r="R205" s="10"/>
      <c r="S205" s="10"/>
      <c r="U205" s="10"/>
      <c r="V205" s="10"/>
      <c r="W205" s="10"/>
      <c r="X205" s="18">
        <f t="shared" ca="1" si="35"/>
        <v>0</v>
      </c>
      <c r="Y205" s="18">
        <f t="shared" ca="1" si="36"/>
        <v>0</v>
      </c>
      <c r="Z205" s="18">
        <f t="shared" ca="1" si="37"/>
        <v>0</v>
      </c>
      <c r="AA205" s="18">
        <f t="shared" ca="1" si="38"/>
        <v>0</v>
      </c>
      <c r="AB205" s="18">
        <f t="shared" ca="1" si="39"/>
        <v>0</v>
      </c>
      <c r="AC205" s="18">
        <f t="shared" ca="1" si="40"/>
        <v>0</v>
      </c>
      <c r="AD205" s="18">
        <f t="shared" ca="1" si="41"/>
        <v>0</v>
      </c>
      <c r="AE205" s="10"/>
    </row>
    <row r="206" spans="1:31" ht="72" customHeight="1">
      <c r="A206" s="38" t="s">
        <v>112</v>
      </c>
      <c r="B206" s="8" t="s">
        <v>137</v>
      </c>
      <c r="C206" s="16"/>
      <c r="D206" s="17"/>
      <c r="E206" s="2"/>
      <c r="F206" s="2"/>
      <c r="G206" s="2"/>
      <c r="H206" s="2"/>
      <c r="I206" s="2"/>
      <c r="J206" s="17"/>
      <c r="K206" s="1">
        <f t="shared" si="34"/>
        <v>0</v>
      </c>
      <c r="L206" s="8" t="s">
        <v>181</v>
      </c>
      <c r="M206" s="3"/>
      <c r="N206" s="10"/>
      <c r="O206" s="5" t="s">
        <v>180</v>
      </c>
      <c r="P206" s="10"/>
      <c r="Q206" s="10"/>
      <c r="R206" s="10"/>
      <c r="S206" s="10"/>
      <c r="U206" s="10"/>
      <c r="V206" s="10"/>
      <c r="W206" s="10"/>
      <c r="X206" s="18">
        <f t="shared" ca="1" si="35"/>
        <v>0</v>
      </c>
      <c r="Y206" s="18">
        <f t="shared" ca="1" si="36"/>
        <v>0</v>
      </c>
      <c r="Z206" s="18">
        <f t="shared" ca="1" si="37"/>
        <v>0</v>
      </c>
      <c r="AA206" s="18">
        <f t="shared" ca="1" si="38"/>
        <v>0</v>
      </c>
      <c r="AB206" s="18">
        <f t="shared" ca="1" si="39"/>
        <v>0</v>
      </c>
      <c r="AC206" s="18">
        <f t="shared" ca="1" si="40"/>
        <v>0</v>
      </c>
      <c r="AD206" s="18">
        <f t="shared" ca="1" si="41"/>
        <v>0</v>
      </c>
      <c r="AE206" s="10"/>
    </row>
    <row r="207" spans="1:31" ht="72" customHeight="1">
      <c r="A207" s="38" t="s">
        <v>112</v>
      </c>
      <c r="B207" s="8" t="s">
        <v>138</v>
      </c>
      <c r="C207" s="16"/>
      <c r="D207" s="17"/>
      <c r="E207" s="2"/>
      <c r="F207" s="2"/>
      <c r="G207" s="2"/>
      <c r="H207" s="2"/>
      <c r="I207" s="2"/>
      <c r="J207" s="17"/>
      <c r="K207" s="1">
        <f t="shared" si="34"/>
        <v>0</v>
      </c>
      <c r="L207" s="8" t="s">
        <v>181</v>
      </c>
      <c r="M207" s="3"/>
      <c r="N207" s="10"/>
      <c r="O207" s="5" t="s">
        <v>180</v>
      </c>
      <c r="P207" s="10"/>
      <c r="Q207" s="10"/>
      <c r="R207" s="10"/>
      <c r="S207" s="10"/>
      <c r="U207" s="10"/>
      <c r="V207" s="10"/>
      <c r="W207" s="10"/>
      <c r="X207" s="18">
        <f t="shared" ca="1" si="35"/>
        <v>0</v>
      </c>
      <c r="Y207" s="18">
        <f t="shared" ca="1" si="36"/>
        <v>0</v>
      </c>
      <c r="Z207" s="18">
        <f t="shared" ca="1" si="37"/>
        <v>0</v>
      </c>
      <c r="AA207" s="18">
        <f t="shared" ca="1" si="38"/>
        <v>0</v>
      </c>
      <c r="AB207" s="18">
        <f t="shared" ca="1" si="39"/>
        <v>0</v>
      </c>
      <c r="AC207" s="18">
        <f t="shared" ca="1" si="40"/>
        <v>0</v>
      </c>
      <c r="AD207" s="18">
        <f t="shared" ca="1" si="41"/>
        <v>0</v>
      </c>
      <c r="AE207" s="10"/>
    </row>
    <row r="208" spans="1:31" ht="72" customHeight="1">
      <c r="A208" s="38" t="s">
        <v>112</v>
      </c>
      <c r="B208" s="8" t="s">
        <v>139</v>
      </c>
      <c r="C208" s="16"/>
      <c r="D208" s="17"/>
      <c r="E208" s="2"/>
      <c r="F208" s="2"/>
      <c r="G208" s="2"/>
      <c r="H208" s="2"/>
      <c r="I208" s="2"/>
      <c r="J208" s="17"/>
      <c r="K208" s="1">
        <f t="shared" si="34"/>
        <v>0</v>
      </c>
      <c r="L208" s="8" t="s">
        <v>181</v>
      </c>
      <c r="M208" s="3"/>
      <c r="N208" s="10"/>
      <c r="O208" s="5" t="s">
        <v>180</v>
      </c>
      <c r="P208" s="10"/>
      <c r="Q208" s="10"/>
      <c r="R208" s="10"/>
      <c r="S208" s="10"/>
      <c r="U208" s="10"/>
      <c r="V208" s="10"/>
      <c r="W208" s="10"/>
      <c r="X208" s="18">
        <f t="shared" ca="1" si="35"/>
        <v>0</v>
      </c>
      <c r="Y208" s="18">
        <f t="shared" ca="1" si="36"/>
        <v>0</v>
      </c>
      <c r="Z208" s="18">
        <f t="shared" ca="1" si="37"/>
        <v>0</v>
      </c>
      <c r="AA208" s="18">
        <f t="shared" ca="1" si="38"/>
        <v>0</v>
      </c>
      <c r="AB208" s="18">
        <f t="shared" ca="1" si="39"/>
        <v>0</v>
      </c>
      <c r="AC208" s="18">
        <f t="shared" ca="1" si="40"/>
        <v>0</v>
      </c>
      <c r="AD208" s="18">
        <f t="shared" ca="1" si="41"/>
        <v>0</v>
      </c>
      <c r="AE208" s="10"/>
    </row>
    <row r="209" spans="1:31" ht="72" customHeight="1">
      <c r="A209" s="38" t="s">
        <v>112</v>
      </c>
      <c r="B209" s="8" t="s">
        <v>140</v>
      </c>
      <c r="C209" s="16"/>
      <c r="D209" s="17"/>
      <c r="E209" s="2"/>
      <c r="F209" s="2"/>
      <c r="G209" s="2"/>
      <c r="H209" s="2"/>
      <c r="I209" s="2"/>
      <c r="J209" s="17"/>
      <c r="K209" s="1">
        <f t="shared" si="34"/>
        <v>0</v>
      </c>
      <c r="L209" s="8" t="s">
        <v>181</v>
      </c>
      <c r="M209" s="3"/>
      <c r="N209" s="10"/>
      <c r="O209" s="5" t="s">
        <v>180</v>
      </c>
      <c r="P209" s="10"/>
      <c r="Q209" s="10"/>
      <c r="R209" s="10"/>
      <c r="S209" s="10"/>
      <c r="U209" s="10"/>
      <c r="V209" s="10"/>
      <c r="W209" s="10"/>
      <c r="X209" s="18">
        <f t="shared" ca="1" si="35"/>
        <v>0</v>
      </c>
      <c r="Y209" s="18">
        <f t="shared" ca="1" si="36"/>
        <v>0</v>
      </c>
      <c r="Z209" s="18">
        <f t="shared" ca="1" si="37"/>
        <v>0</v>
      </c>
      <c r="AA209" s="18">
        <f t="shared" ca="1" si="38"/>
        <v>0</v>
      </c>
      <c r="AB209" s="18">
        <f t="shared" ca="1" si="39"/>
        <v>0</v>
      </c>
      <c r="AC209" s="18">
        <f t="shared" ca="1" si="40"/>
        <v>0</v>
      </c>
      <c r="AD209" s="18">
        <f t="shared" ca="1" si="41"/>
        <v>0</v>
      </c>
      <c r="AE209" s="10"/>
    </row>
    <row r="210" spans="1:31" ht="72" customHeight="1">
      <c r="A210" s="38" t="s">
        <v>112</v>
      </c>
      <c r="B210" s="8" t="s">
        <v>178</v>
      </c>
      <c r="C210" s="16"/>
      <c r="D210" s="17"/>
      <c r="E210" s="2"/>
      <c r="F210" s="2"/>
      <c r="G210" s="2"/>
      <c r="H210" s="2"/>
      <c r="I210" s="2"/>
      <c r="J210" s="17"/>
      <c r="K210" s="1">
        <f t="shared" si="34"/>
        <v>0</v>
      </c>
      <c r="L210" s="8" t="s">
        <v>181</v>
      </c>
      <c r="M210" s="3"/>
      <c r="N210" s="10"/>
      <c r="O210" s="5" t="s">
        <v>180</v>
      </c>
      <c r="P210" s="10"/>
      <c r="Q210" s="10"/>
      <c r="R210" s="10"/>
      <c r="S210" s="10"/>
      <c r="U210" s="10"/>
      <c r="V210" s="10"/>
      <c r="W210" s="10"/>
      <c r="X210" s="18">
        <f t="shared" ca="1" si="35"/>
        <v>0</v>
      </c>
      <c r="Y210" s="18">
        <f t="shared" ca="1" si="36"/>
        <v>0</v>
      </c>
      <c r="Z210" s="18">
        <f t="shared" ca="1" si="37"/>
        <v>0</v>
      </c>
      <c r="AA210" s="18">
        <f t="shared" ca="1" si="38"/>
        <v>0</v>
      </c>
      <c r="AB210" s="18">
        <f t="shared" ca="1" si="39"/>
        <v>0</v>
      </c>
      <c r="AC210" s="18">
        <f t="shared" ca="1" si="40"/>
        <v>0</v>
      </c>
      <c r="AD210" s="18">
        <f t="shared" ca="1" si="41"/>
        <v>0</v>
      </c>
      <c r="AE210" s="10"/>
    </row>
    <row r="211" spans="1:31" ht="72" customHeight="1">
      <c r="A211" s="38" t="s">
        <v>175</v>
      </c>
      <c r="B211" s="8" t="s">
        <v>117</v>
      </c>
      <c r="C211" s="16"/>
      <c r="D211" s="17"/>
      <c r="E211" s="2"/>
      <c r="F211" s="2"/>
      <c r="G211" s="2"/>
      <c r="H211" s="2"/>
      <c r="I211" s="2"/>
      <c r="J211" s="17"/>
      <c r="K211" s="1">
        <f t="shared" si="34"/>
        <v>0</v>
      </c>
      <c r="L211" s="8" t="s">
        <v>181</v>
      </c>
      <c r="M211" s="3"/>
      <c r="N211" s="10"/>
      <c r="O211" s="5" t="s">
        <v>180</v>
      </c>
      <c r="P211" s="10"/>
      <c r="Q211" s="10"/>
      <c r="R211" s="10"/>
      <c r="S211" s="10"/>
      <c r="U211" s="10"/>
      <c r="V211" s="10"/>
      <c r="W211" s="10"/>
      <c r="X211" s="18">
        <f t="shared" ca="1" si="35"/>
        <v>0</v>
      </c>
      <c r="Y211" s="18">
        <f t="shared" ca="1" si="36"/>
        <v>0</v>
      </c>
      <c r="Z211" s="18">
        <f t="shared" ca="1" si="37"/>
        <v>0</v>
      </c>
      <c r="AA211" s="18">
        <f t="shared" ca="1" si="38"/>
        <v>0</v>
      </c>
      <c r="AB211" s="18">
        <f t="shared" ca="1" si="39"/>
        <v>0</v>
      </c>
      <c r="AC211" s="18">
        <f t="shared" ca="1" si="40"/>
        <v>0</v>
      </c>
      <c r="AD211" s="18">
        <f t="shared" ca="1" si="41"/>
        <v>0</v>
      </c>
      <c r="AE211" s="10"/>
    </row>
    <row r="212" spans="1:31" ht="72" customHeight="1">
      <c r="A212" s="38" t="s">
        <v>175</v>
      </c>
      <c r="B212" s="8" t="s">
        <v>118</v>
      </c>
      <c r="C212" s="16"/>
      <c r="D212" s="17"/>
      <c r="E212" s="2"/>
      <c r="F212" s="2"/>
      <c r="G212" s="2"/>
      <c r="H212" s="2"/>
      <c r="I212" s="2"/>
      <c r="J212" s="17"/>
      <c r="K212" s="1">
        <f t="shared" si="34"/>
        <v>0</v>
      </c>
      <c r="L212" s="8" t="s">
        <v>181</v>
      </c>
      <c r="M212" s="3"/>
      <c r="N212" s="10"/>
      <c r="O212" s="5" t="s">
        <v>180</v>
      </c>
      <c r="P212" s="10"/>
      <c r="Q212" s="10"/>
      <c r="R212" s="10"/>
      <c r="S212" s="10"/>
      <c r="U212" s="10"/>
      <c r="V212" s="10"/>
      <c r="W212" s="10"/>
      <c r="X212" s="18">
        <f t="shared" ca="1" si="35"/>
        <v>0</v>
      </c>
      <c r="Y212" s="18">
        <f t="shared" ca="1" si="36"/>
        <v>0</v>
      </c>
      <c r="Z212" s="18">
        <f t="shared" ca="1" si="37"/>
        <v>0</v>
      </c>
      <c r="AA212" s="18">
        <f t="shared" ca="1" si="38"/>
        <v>0</v>
      </c>
      <c r="AB212" s="18">
        <f t="shared" ca="1" si="39"/>
        <v>0</v>
      </c>
      <c r="AC212" s="18">
        <f t="shared" ca="1" si="40"/>
        <v>0</v>
      </c>
      <c r="AD212" s="18">
        <f t="shared" ca="1" si="41"/>
        <v>0</v>
      </c>
      <c r="AE212" s="10"/>
    </row>
    <row r="213" spans="1:31" ht="72" customHeight="1">
      <c r="A213" s="38" t="s">
        <v>175</v>
      </c>
      <c r="B213" s="8" t="s">
        <v>119</v>
      </c>
      <c r="C213" s="16"/>
      <c r="D213" s="17"/>
      <c r="E213" s="2"/>
      <c r="F213" s="2"/>
      <c r="G213" s="2"/>
      <c r="H213" s="2"/>
      <c r="I213" s="2"/>
      <c r="J213" s="17"/>
      <c r="K213" s="1">
        <f t="shared" si="34"/>
        <v>0</v>
      </c>
      <c r="L213" s="8" t="s">
        <v>181</v>
      </c>
      <c r="M213" s="3"/>
      <c r="N213" s="10"/>
      <c r="O213" s="5" t="s">
        <v>180</v>
      </c>
      <c r="P213" s="10"/>
      <c r="Q213" s="10"/>
      <c r="R213" s="10"/>
      <c r="S213" s="10"/>
      <c r="U213" s="10"/>
      <c r="V213" s="10"/>
      <c r="W213" s="10"/>
      <c r="X213" s="18">
        <f t="shared" ca="1" si="35"/>
        <v>0</v>
      </c>
      <c r="Y213" s="18">
        <f t="shared" ca="1" si="36"/>
        <v>0</v>
      </c>
      <c r="Z213" s="18">
        <f t="shared" ca="1" si="37"/>
        <v>0</v>
      </c>
      <c r="AA213" s="18">
        <f t="shared" ca="1" si="38"/>
        <v>0</v>
      </c>
      <c r="AB213" s="18">
        <f t="shared" ca="1" si="39"/>
        <v>0</v>
      </c>
      <c r="AC213" s="18">
        <f t="shared" ca="1" si="40"/>
        <v>0</v>
      </c>
      <c r="AD213" s="18">
        <f t="shared" ca="1" si="41"/>
        <v>0</v>
      </c>
      <c r="AE213" s="10"/>
    </row>
    <row r="214" spans="1:31" ht="72" customHeight="1">
      <c r="A214" s="38" t="s">
        <v>175</v>
      </c>
      <c r="B214" s="8" t="s">
        <v>120</v>
      </c>
      <c r="C214" s="16"/>
      <c r="D214" s="17"/>
      <c r="E214" s="2"/>
      <c r="F214" s="2"/>
      <c r="G214" s="2"/>
      <c r="H214" s="2"/>
      <c r="I214" s="2"/>
      <c r="J214" s="17"/>
      <c r="K214" s="1">
        <f t="shared" si="34"/>
        <v>0</v>
      </c>
      <c r="L214" s="8" t="s">
        <v>181</v>
      </c>
      <c r="M214" s="3"/>
      <c r="N214" s="10"/>
      <c r="O214" s="5" t="s">
        <v>180</v>
      </c>
      <c r="P214" s="10"/>
      <c r="Q214" s="10"/>
      <c r="R214" s="10"/>
      <c r="S214" s="10"/>
      <c r="U214" s="10"/>
      <c r="V214" s="10"/>
      <c r="W214" s="10"/>
      <c r="X214" s="18">
        <f t="shared" ca="1" si="35"/>
        <v>0</v>
      </c>
      <c r="Y214" s="18">
        <f t="shared" ca="1" si="36"/>
        <v>0</v>
      </c>
      <c r="Z214" s="18">
        <f t="shared" ca="1" si="37"/>
        <v>0</v>
      </c>
      <c r="AA214" s="18">
        <f t="shared" ca="1" si="38"/>
        <v>0</v>
      </c>
      <c r="AB214" s="18">
        <f t="shared" ca="1" si="39"/>
        <v>0</v>
      </c>
      <c r="AC214" s="18">
        <f t="shared" ca="1" si="40"/>
        <v>0</v>
      </c>
      <c r="AD214" s="18">
        <f t="shared" ca="1" si="41"/>
        <v>0</v>
      </c>
      <c r="AE214" s="10"/>
    </row>
    <row r="215" spans="1:31" ht="72" customHeight="1">
      <c r="A215" s="38" t="s">
        <v>175</v>
      </c>
      <c r="B215" s="8" t="s">
        <v>121</v>
      </c>
      <c r="C215" s="16"/>
      <c r="D215" s="17"/>
      <c r="E215" s="2"/>
      <c r="F215" s="2"/>
      <c r="G215" s="2"/>
      <c r="H215" s="2"/>
      <c r="I215" s="2"/>
      <c r="J215" s="17"/>
      <c r="K215" s="1">
        <f t="shared" si="34"/>
        <v>0</v>
      </c>
      <c r="L215" s="8" t="s">
        <v>181</v>
      </c>
      <c r="M215" s="3"/>
      <c r="N215" s="10"/>
      <c r="O215" s="5" t="s">
        <v>180</v>
      </c>
      <c r="P215" s="10"/>
      <c r="Q215" s="10"/>
      <c r="R215" s="10"/>
      <c r="S215" s="10"/>
      <c r="U215" s="10"/>
      <c r="V215" s="10"/>
      <c r="W215" s="10"/>
      <c r="X215" s="18">
        <f t="shared" ca="1" si="35"/>
        <v>0</v>
      </c>
      <c r="Y215" s="18">
        <f t="shared" ca="1" si="36"/>
        <v>0</v>
      </c>
      <c r="Z215" s="18">
        <f t="shared" ca="1" si="37"/>
        <v>0</v>
      </c>
      <c r="AA215" s="18">
        <f t="shared" ca="1" si="38"/>
        <v>0</v>
      </c>
      <c r="AB215" s="18">
        <f t="shared" ca="1" si="39"/>
        <v>0</v>
      </c>
      <c r="AC215" s="18">
        <f t="shared" ca="1" si="40"/>
        <v>0</v>
      </c>
      <c r="AD215" s="18">
        <f t="shared" ca="1" si="41"/>
        <v>0</v>
      </c>
      <c r="AE215" s="10"/>
    </row>
    <row r="216" spans="1:31" ht="72" customHeight="1">
      <c r="A216" s="38" t="s">
        <v>175</v>
      </c>
      <c r="B216" s="8" t="s">
        <v>122</v>
      </c>
      <c r="C216" s="16"/>
      <c r="D216" s="17"/>
      <c r="E216" s="2"/>
      <c r="F216" s="2"/>
      <c r="G216" s="2"/>
      <c r="H216" s="2"/>
      <c r="I216" s="2"/>
      <c r="J216" s="17"/>
      <c r="K216" s="1">
        <f t="shared" si="34"/>
        <v>0</v>
      </c>
      <c r="L216" s="8" t="s">
        <v>181</v>
      </c>
      <c r="M216" s="3"/>
      <c r="N216" s="10"/>
      <c r="O216" s="5" t="s">
        <v>180</v>
      </c>
      <c r="P216" s="10"/>
      <c r="Q216" s="10"/>
      <c r="R216" s="10"/>
      <c r="S216" s="10"/>
      <c r="U216" s="10"/>
      <c r="V216" s="10"/>
      <c r="W216" s="10"/>
      <c r="X216" s="18">
        <f t="shared" ca="1" si="35"/>
        <v>0</v>
      </c>
      <c r="Y216" s="18">
        <f t="shared" ca="1" si="36"/>
        <v>0</v>
      </c>
      <c r="Z216" s="18">
        <f t="shared" ca="1" si="37"/>
        <v>0</v>
      </c>
      <c r="AA216" s="18">
        <f t="shared" ca="1" si="38"/>
        <v>0</v>
      </c>
      <c r="AB216" s="18">
        <f t="shared" ca="1" si="39"/>
        <v>0</v>
      </c>
      <c r="AC216" s="18">
        <f t="shared" ca="1" si="40"/>
        <v>0</v>
      </c>
      <c r="AD216" s="18">
        <f t="shared" ca="1" si="41"/>
        <v>0</v>
      </c>
      <c r="AE216" s="10"/>
    </row>
    <row r="217" spans="1:31" ht="72" customHeight="1">
      <c r="A217" s="38" t="s">
        <v>175</v>
      </c>
      <c r="B217" s="8" t="s">
        <v>123</v>
      </c>
      <c r="C217" s="16"/>
      <c r="D217" s="17"/>
      <c r="E217" s="2"/>
      <c r="F217" s="2"/>
      <c r="G217" s="2"/>
      <c r="H217" s="2"/>
      <c r="I217" s="2"/>
      <c r="J217" s="17"/>
      <c r="K217" s="1">
        <f t="shared" si="34"/>
        <v>0</v>
      </c>
      <c r="L217" s="8" t="s">
        <v>181</v>
      </c>
      <c r="M217" s="3"/>
      <c r="N217" s="10"/>
      <c r="O217" s="5" t="s">
        <v>180</v>
      </c>
      <c r="P217" s="10"/>
      <c r="Q217" s="10"/>
      <c r="R217" s="10"/>
      <c r="S217" s="10"/>
      <c r="U217" s="10"/>
      <c r="V217" s="10"/>
      <c r="W217" s="10"/>
      <c r="X217" s="18">
        <f t="shared" ca="1" si="35"/>
        <v>0</v>
      </c>
      <c r="Y217" s="18">
        <f t="shared" ca="1" si="36"/>
        <v>0</v>
      </c>
      <c r="Z217" s="18">
        <f t="shared" ca="1" si="37"/>
        <v>0</v>
      </c>
      <c r="AA217" s="18">
        <f t="shared" ca="1" si="38"/>
        <v>0</v>
      </c>
      <c r="AB217" s="18">
        <f t="shared" ca="1" si="39"/>
        <v>0</v>
      </c>
      <c r="AC217" s="18">
        <f t="shared" ca="1" si="40"/>
        <v>0</v>
      </c>
      <c r="AD217" s="18">
        <f t="shared" ca="1" si="41"/>
        <v>0</v>
      </c>
      <c r="AE217" s="10"/>
    </row>
    <row r="218" spans="1:31" ht="72" customHeight="1">
      <c r="A218" s="38" t="s">
        <v>175</v>
      </c>
      <c r="B218" s="8" t="s">
        <v>124</v>
      </c>
      <c r="C218" s="16"/>
      <c r="D218" s="17"/>
      <c r="E218" s="2"/>
      <c r="F218" s="2"/>
      <c r="G218" s="2"/>
      <c r="H218" s="2"/>
      <c r="I218" s="2"/>
      <c r="J218" s="17"/>
      <c r="K218" s="1">
        <f t="shared" si="34"/>
        <v>0</v>
      </c>
      <c r="L218" s="8" t="s">
        <v>181</v>
      </c>
      <c r="M218" s="3"/>
      <c r="N218" s="10"/>
      <c r="O218" s="5" t="s">
        <v>180</v>
      </c>
      <c r="P218" s="10"/>
      <c r="Q218" s="10"/>
      <c r="R218" s="10"/>
      <c r="S218" s="10"/>
      <c r="U218" s="10"/>
      <c r="V218" s="10"/>
      <c r="W218" s="10"/>
      <c r="X218" s="18">
        <f t="shared" ca="1" si="35"/>
        <v>0</v>
      </c>
      <c r="Y218" s="18">
        <f t="shared" ca="1" si="36"/>
        <v>0</v>
      </c>
      <c r="Z218" s="18">
        <f t="shared" ca="1" si="37"/>
        <v>0</v>
      </c>
      <c r="AA218" s="18">
        <f t="shared" ca="1" si="38"/>
        <v>0</v>
      </c>
      <c r="AB218" s="18">
        <f t="shared" ca="1" si="39"/>
        <v>0</v>
      </c>
      <c r="AC218" s="18">
        <f t="shared" ca="1" si="40"/>
        <v>0</v>
      </c>
      <c r="AD218" s="18">
        <f t="shared" ca="1" si="41"/>
        <v>0</v>
      </c>
      <c r="AE218" s="10"/>
    </row>
    <row r="219" spans="1:31" ht="72" customHeight="1">
      <c r="A219" s="38" t="s">
        <v>175</v>
      </c>
      <c r="B219" s="8" t="s">
        <v>125</v>
      </c>
      <c r="C219" s="16"/>
      <c r="D219" s="17"/>
      <c r="E219" s="2"/>
      <c r="F219" s="2"/>
      <c r="G219" s="2"/>
      <c r="H219" s="2"/>
      <c r="I219" s="2"/>
      <c r="J219" s="17"/>
      <c r="K219" s="1">
        <f t="shared" si="34"/>
        <v>0</v>
      </c>
      <c r="L219" s="8" t="s">
        <v>181</v>
      </c>
      <c r="M219" s="3"/>
      <c r="N219" s="10"/>
      <c r="O219" s="5" t="s">
        <v>180</v>
      </c>
      <c r="P219" s="10"/>
      <c r="Q219" s="10"/>
      <c r="R219" s="10"/>
      <c r="S219" s="10"/>
      <c r="U219" s="10"/>
      <c r="V219" s="10"/>
      <c r="W219" s="10"/>
      <c r="X219" s="18">
        <f t="shared" ca="1" si="35"/>
        <v>0</v>
      </c>
      <c r="Y219" s="18">
        <f t="shared" ca="1" si="36"/>
        <v>0</v>
      </c>
      <c r="Z219" s="18">
        <f t="shared" ca="1" si="37"/>
        <v>0</v>
      </c>
      <c r="AA219" s="18">
        <f t="shared" ca="1" si="38"/>
        <v>0</v>
      </c>
      <c r="AB219" s="18">
        <f t="shared" ca="1" si="39"/>
        <v>0</v>
      </c>
      <c r="AC219" s="18">
        <f t="shared" ca="1" si="40"/>
        <v>0</v>
      </c>
      <c r="AD219" s="18">
        <f t="shared" ca="1" si="41"/>
        <v>0</v>
      </c>
      <c r="AE219" s="10"/>
    </row>
    <row r="220" spans="1:31" ht="72" customHeight="1">
      <c r="A220" s="38" t="s">
        <v>175</v>
      </c>
      <c r="B220" s="8" t="s">
        <v>126</v>
      </c>
      <c r="C220" s="16"/>
      <c r="D220" s="17"/>
      <c r="E220" s="2"/>
      <c r="F220" s="2"/>
      <c r="G220" s="2"/>
      <c r="H220" s="2"/>
      <c r="I220" s="2"/>
      <c r="J220" s="17"/>
      <c r="K220" s="1">
        <f t="shared" si="34"/>
        <v>0</v>
      </c>
      <c r="L220" s="8" t="s">
        <v>181</v>
      </c>
      <c r="M220" s="3"/>
      <c r="N220" s="10"/>
      <c r="O220" s="5" t="s">
        <v>180</v>
      </c>
      <c r="P220" s="10"/>
      <c r="Q220" s="10"/>
      <c r="R220" s="10"/>
      <c r="S220" s="10"/>
      <c r="U220" s="10"/>
      <c r="V220" s="10"/>
      <c r="W220" s="10"/>
      <c r="X220" s="18">
        <f t="shared" ca="1" si="35"/>
        <v>0</v>
      </c>
      <c r="Y220" s="18">
        <f t="shared" ca="1" si="36"/>
        <v>0</v>
      </c>
      <c r="Z220" s="18">
        <f t="shared" ca="1" si="37"/>
        <v>0</v>
      </c>
      <c r="AA220" s="18">
        <f t="shared" ca="1" si="38"/>
        <v>0</v>
      </c>
      <c r="AB220" s="18">
        <f t="shared" ca="1" si="39"/>
        <v>0</v>
      </c>
      <c r="AC220" s="18">
        <f t="shared" ca="1" si="40"/>
        <v>0</v>
      </c>
      <c r="AD220" s="18">
        <f t="shared" ca="1" si="41"/>
        <v>0</v>
      </c>
      <c r="AE220" s="10"/>
    </row>
    <row r="221" spans="1:31" ht="72" customHeight="1">
      <c r="A221" s="38" t="s">
        <v>175</v>
      </c>
      <c r="B221" s="8" t="s">
        <v>127</v>
      </c>
      <c r="C221" s="16"/>
      <c r="D221" s="17"/>
      <c r="E221" s="2"/>
      <c r="F221" s="2"/>
      <c r="G221" s="2"/>
      <c r="H221" s="2"/>
      <c r="I221" s="2"/>
      <c r="J221" s="17"/>
      <c r="K221" s="1">
        <f t="shared" si="34"/>
        <v>0</v>
      </c>
      <c r="L221" s="8" t="s">
        <v>181</v>
      </c>
      <c r="M221" s="3"/>
      <c r="N221" s="10"/>
      <c r="O221" s="5" t="s">
        <v>180</v>
      </c>
      <c r="P221" s="10"/>
      <c r="Q221" s="10"/>
      <c r="R221" s="10"/>
      <c r="S221" s="10"/>
      <c r="U221" s="10"/>
      <c r="V221" s="10"/>
      <c r="W221" s="10"/>
      <c r="X221" s="18">
        <f t="shared" ca="1" si="35"/>
        <v>0</v>
      </c>
      <c r="Y221" s="18">
        <f t="shared" ca="1" si="36"/>
        <v>0</v>
      </c>
      <c r="Z221" s="18">
        <f t="shared" ca="1" si="37"/>
        <v>0</v>
      </c>
      <c r="AA221" s="18">
        <f t="shared" ca="1" si="38"/>
        <v>0</v>
      </c>
      <c r="AB221" s="18">
        <f t="shared" ca="1" si="39"/>
        <v>0</v>
      </c>
      <c r="AC221" s="18">
        <f t="shared" ca="1" si="40"/>
        <v>0</v>
      </c>
      <c r="AD221" s="18">
        <f t="shared" ca="1" si="41"/>
        <v>0</v>
      </c>
      <c r="AE221" s="10"/>
    </row>
    <row r="222" spans="1:31" ht="72" customHeight="1">
      <c r="A222" s="38" t="s">
        <v>175</v>
      </c>
      <c r="B222" s="8" t="s">
        <v>128</v>
      </c>
      <c r="C222" s="16"/>
      <c r="D222" s="17"/>
      <c r="E222" s="2"/>
      <c r="F222" s="2"/>
      <c r="G222" s="2"/>
      <c r="H222" s="2"/>
      <c r="I222" s="2"/>
      <c r="J222" s="17"/>
      <c r="K222" s="1">
        <f t="shared" si="34"/>
        <v>0</v>
      </c>
      <c r="L222" s="8" t="s">
        <v>181</v>
      </c>
      <c r="M222" s="3"/>
      <c r="N222" s="10"/>
      <c r="O222" s="5" t="s">
        <v>180</v>
      </c>
      <c r="P222" s="10"/>
      <c r="Q222" s="10"/>
      <c r="R222" s="10"/>
      <c r="S222" s="10"/>
      <c r="U222" s="10"/>
      <c r="V222" s="10"/>
      <c r="W222" s="10"/>
      <c r="X222" s="18">
        <f t="shared" ca="1" si="35"/>
        <v>0</v>
      </c>
      <c r="Y222" s="18">
        <f t="shared" ca="1" si="36"/>
        <v>0</v>
      </c>
      <c r="Z222" s="18">
        <f t="shared" ca="1" si="37"/>
        <v>0</v>
      </c>
      <c r="AA222" s="18">
        <f t="shared" ca="1" si="38"/>
        <v>0</v>
      </c>
      <c r="AB222" s="18">
        <f t="shared" ca="1" si="39"/>
        <v>0</v>
      </c>
      <c r="AC222" s="18">
        <f t="shared" ca="1" si="40"/>
        <v>0</v>
      </c>
      <c r="AD222" s="18">
        <f t="shared" ca="1" si="41"/>
        <v>0</v>
      </c>
      <c r="AE222" s="10"/>
    </row>
    <row r="223" spans="1:31" ht="72" customHeight="1">
      <c r="A223" s="38" t="s">
        <v>175</v>
      </c>
      <c r="B223" s="8" t="s">
        <v>129</v>
      </c>
      <c r="C223" s="16"/>
      <c r="D223" s="17"/>
      <c r="E223" s="2"/>
      <c r="F223" s="2"/>
      <c r="G223" s="2"/>
      <c r="H223" s="2"/>
      <c r="I223" s="2"/>
      <c r="J223" s="17"/>
      <c r="K223" s="1">
        <f t="shared" si="34"/>
        <v>0</v>
      </c>
      <c r="L223" s="8" t="s">
        <v>181</v>
      </c>
      <c r="M223" s="3"/>
      <c r="N223" s="10"/>
      <c r="O223" s="5" t="s">
        <v>180</v>
      </c>
      <c r="P223" s="10"/>
      <c r="Q223" s="10"/>
      <c r="R223" s="10"/>
      <c r="S223" s="10"/>
      <c r="U223" s="10"/>
      <c r="V223" s="10"/>
      <c r="W223" s="10"/>
      <c r="X223" s="18">
        <f t="shared" ca="1" si="35"/>
        <v>0</v>
      </c>
      <c r="Y223" s="18">
        <f t="shared" ca="1" si="36"/>
        <v>0</v>
      </c>
      <c r="Z223" s="18">
        <f t="shared" ca="1" si="37"/>
        <v>0</v>
      </c>
      <c r="AA223" s="18">
        <f t="shared" ca="1" si="38"/>
        <v>0</v>
      </c>
      <c r="AB223" s="18">
        <f t="shared" ca="1" si="39"/>
        <v>0</v>
      </c>
      <c r="AC223" s="18">
        <f t="shared" ca="1" si="40"/>
        <v>0</v>
      </c>
      <c r="AD223" s="18">
        <f t="shared" ca="1" si="41"/>
        <v>0</v>
      </c>
      <c r="AE223" s="10"/>
    </row>
    <row r="224" spans="1:31" ht="72" customHeight="1">
      <c r="A224" s="38" t="s">
        <v>175</v>
      </c>
      <c r="B224" s="8" t="s">
        <v>130</v>
      </c>
      <c r="C224" s="16"/>
      <c r="D224" s="17"/>
      <c r="E224" s="2"/>
      <c r="F224" s="2"/>
      <c r="G224" s="2"/>
      <c r="H224" s="2"/>
      <c r="I224" s="2"/>
      <c r="J224" s="17"/>
      <c r="K224" s="1">
        <f t="shared" si="34"/>
        <v>0</v>
      </c>
      <c r="L224" s="8" t="s">
        <v>181</v>
      </c>
      <c r="M224" s="3"/>
      <c r="N224" s="10"/>
      <c r="O224" s="5" t="s">
        <v>180</v>
      </c>
      <c r="P224" s="10"/>
      <c r="Q224" s="10"/>
      <c r="R224" s="10"/>
      <c r="S224" s="10"/>
      <c r="U224" s="10"/>
      <c r="V224" s="10"/>
      <c r="W224" s="10"/>
      <c r="X224" s="18">
        <f t="shared" ca="1" si="35"/>
        <v>0</v>
      </c>
      <c r="Y224" s="18">
        <f t="shared" ca="1" si="36"/>
        <v>0</v>
      </c>
      <c r="Z224" s="18">
        <f t="shared" ca="1" si="37"/>
        <v>0</v>
      </c>
      <c r="AA224" s="18">
        <f t="shared" ca="1" si="38"/>
        <v>0</v>
      </c>
      <c r="AB224" s="18">
        <f t="shared" ca="1" si="39"/>
        <v>0</v>
      </c>
      <c r="AC224" s="18">
        <f t="shared" ca="1" si="40"/>
        <v>0</v>
      </c>
      <c r="AD224" s="18">
        <f t="shared" ca="1" si="41"/>
        <v>0</v>
      </c>
      <c r="AE224" s="10"/>
    </row>
    <row r="225" spans="1:31" ht="72" customHeight="1">
      <c r="A225" s="38" t="s">
        <v>175</v>
      </c>
      <c r="B225" s="8" t="s">
        <v>131</v>
      </c>
      <c r="C225" s="16"/>
      <c r="D225" s="17"/>
      <c r="E225" s="2"/>
      <c r="F225" s="2"/>
      <c r="G225" s="2"/>
      <c r="H225" s="2"/>
      <c r="I225" s="2"/>
      <c r="J225" s="17"/>
      <c r="K225" s="1">
        <f t="shared" si="34"/>
        <v>0</v>
      </c>
      <c r="L225" s="8" t="s">
        <v>181</v>
      </c>
      <c r="M225" s="3"/>
      <c r="N225" s="10"/>
      <c r="O225" s="5" t="s">
        <v>180</v>
      </c>
      <c r="P225" s="10"/>
      <c r="Q225" s="10"/>
      <c r="R225" s="10"/>
      <c r="S225" s="10"/>
      <c r="U225" s="10"/>
      <c r="V225" s="10"/>
      <c r="W225" s="10"/>
      <c r="X225" s="18">
        <f t="shared" ca="1" si="35"/>
        <v>0</v>
      </c>
      <c r="Y225" s="18">
        <f t="shared" ca="1" si="36"/>
        <v>0</v>
      </c>
      <c r="Z225" s="18">
        <f t="shared" ca="1" si="37"/>
        <v>0</v>
      </c>
      <c r="AA225" s="18">
        <f t="shared" ca="1" si="38"/>
        <v>0</v>
      </c>
      <c r="AB225" s="18">
        <f t="shared" ca="1" si="39"/>
        <v>0</v>
      </c>
      <c r="AC225" s="18">
        <f t="shared" ca="1" si="40"/>
        <v>0</v>
      </c>
      <c r="AD225" s="18">
        <f t="shared" ca="1" si="41"/>
        <v>0</v>
      </c>
      <c r="AE225" s="10"/>
    </row>
    <row r="226" spans="1:31" ht="72" customHeight="1">
      <c r="A226" s="38" t="s">
        <v>175</v>
      </c>
      <c r="B226" s="8" t="s">
        <v>132</v>
      </c>
      <c r="C226" s="16"/>
      <c r="D226" s="17"/>
      <c r="E226" s="2"/>
      <c r="F226" s="2"/>
      <c r="G226" s="2"/>
      <c r="H226" s="2"/>
      <c r="I226" s="2"/>
      <c r="J226" s="17"/>
      <c r="K226" s="1">
        <f t="shared" si="34"/>
        <v>0</v>
      </c>
      <c r="L226" s="8" t="s">
        <v>181</v>
      </c>
      <c r="M226" s="3"/>
      <c r="N226" s="10"/>
      <c r="O226" s="5" t="s">
        <v>180</v>
      </c>
      <c r="P226" s="10"/>
      <c r="Q226" s="10"/>
      <c r="R226" s="10"/>
      <c r="S226" s="10"/>
      <c r="U226" s="10"/>
      <c r="V226" s="10"/>
      <c r="W226" s="10"/>
      <c r="X226" s="18">
        <f t="shared" ca="1" si="35"/>
        <v>0</v>
      </c>
      <c r="Y226" s="18">
        <f t="shared" ca="1" si="36"/>
        <v>0</v>
      </c>
      <c r="Z226" s="18">
        <f t="shared" ca="1" si="37"/>
        <v>0</v>
      </c>
      <c r="AA226" s="18">
        <f t="shared" ca="1" si="38"/>
        <v>0</v>
      </c>
      <c r="AB226" s="18">
        <f t="shared" ca="1" si="39"/>
        <v>0</v>
      </c>
      <c r="AC226" s="18">
        <f t="shared" ca="1" si="40"/>
        <v>0</v>
      </c>
      <c r="AD226" s="18">
        <f t="shared" ca="1" si="41"/>
        <v>0</v>
      </c>
      <c r="AE226" s="10"/>
    </row>
    <row r="227" spans="1:31" ht="72" customHeight="1">
      <c r="A227" s="38" t="s">
        <v>175</v>
      </c>
      <c r="B227" s="8" t="s">
        <v>133</v>
      </c>
      <c r="C227" s="16"/>
      <c r="D227" s="17"/>
      <c r="E227" s="2"/>
      <c r="F227" s="2"/>
      <c r="G227" s="2"/>
      <c r="H227" s="2"/>
      <c r="I227" s="2"/>
      <c r="J227" s="17"/>
      <c r="K227" s="1">
        <f t="shared" si="34"/>
        <v>0</v>
      </c>
      <c r="L227" s="8" t="s">
        <v>181</v>
      </c>
      <c r="M227" s="3"/>
      <c r="N227" s="10"/>
      <c r="O227" s="5" t="s">
        <v>180</v>
      </c>
      <c r="P227" s="10"/>
      <c r="Q227" s="10"/>
      <c r="R227" s="10"/>
      <c r="S227" s="10"/>
      <c r="U227" s="10"/>
      <c r="V227" s="10"/>
      <c r="W227" s="10"/>
      <c r="X227" s="18">
        <f t="shared" ca="1" si="35"/>
        <v>0</v>
      </c>
      <c r="Y227" s="18">
        <f t="shared" ca="1" si="36"/>
        <v>0</v>
      </c>
      <c r="Z227" s="18">
        <f t="shared" ca="1" si="37"/>
        <v>0</v>
      </c>
      <c r="AA227" s="18">
        <f t="shared" ca="1" si="38"/>
        <v>0</v>
      </c>
      <c r="AB227" s="18">
        <f t="shared" ca="1" si="39"/>
        <v>0</v>
      </c>
      <c r="AC227" s="18">
        <f t="shared" ca="1" si="40"/>
        <v>0</v>
      </c>
      <c r="AD227" s="18">
        <f t="shared" ca="1" si="41"/>
        <v>0</v>
      </c>
      <c r="AE227" s="10"/>
    </row>
    <row r="228" spans="1:31" ht="72" customHeight="1">
      <c r="A228" s="38" t="s">
        <v>175</v>
      </c>
      <c r="B228" s="8" t="s">
        <v>134</v>
      </c>
      <c r="C228" s="16"/>
      <c r="D228" s="17"/>
      <c r="E228" s="2"/>
      <c r="F228" s="2"/>
      <c r="G228" s="2"/>
      <c r="H228" s="2"/>
      <c r="I228" s="2"/>
      <c r="J228" s="17"/>
      <c r="K228" s="1">
        <f t="shared" si="34"/>
        <v>0</v>
      </c>
      <c r="L228" s="8" t="s">
        <v>181</v>
      </c>
      <c r="M228" s="3"/>
      <c r="N228" s="10"/>
      <c r="O228" s="5" t="s">
        <v>180</v>
      </c>
      <c r="P228" s="10"/>
      <c r="Q228" s="10"/>
      <c r="R228" s="10"/>
      <c r="S228" s="10"/>
      <c r="U228" s="10"/>
      <c r="V228" s="10"/>
      <c r="W228" s="10"/>
      <c r="X228" s="18">
        <f t="shared" ca="1" si="35"/>
        <v>0</v>
      </c>
      <c r="Y228" s="18">
        <f t="shared" ca="1" si="36"/>
        <v>0</v>
      </c>
      <c r="Z228" s="18">
        <f t="shared" ca="1" si="37"/>
        <v>0</v>
      </c>
      <c r="AA228" s="18">
        <f t="shared" ca="1" si="38"/>
        <v>0</v>
      </c>
      <c r="AB228" s="18">
        <f t="shared" ca="1" si="39"/>
        <v>0</v>
      </c>
      <c r="AC228" s="18">
        <f t="shared" ca="1" si="40"/>
        <v>0</v>
      </c>
      <c r="AD228" s="18">
        <f t="shared" ca="1" si="41"/>
        <v>0</v>
      </c>
      <c r="AE228" s="10"/>
    </row>
    <row r="229" spans="1:31" ht="72" customHeight="1">
      <c r="A229" s="38" t="s">
        <v>175</v>
      </c>
      <c r="B229" s="8" t="s">
        <v>135</v>
      </c>
      <c r="C229" s="16"/>
      <c r="D229" s="17"/>
      <c r="E229" s="2"/>
      <c r="F229" s="2"/>
      <c r="G229" s="2"/>
      <c r="H229" s="2"/>
      <c r="I229" s="2"/>
      <c r="J229" s="17"/>
      <c r="K229" s="1">
        <f t="shared" si="34"/>
        <v>0</v>
      </c>
      <c r="L229" s="8" t="s">
        <v>181</v>
      </c>
      <c r="M229" s="3"/>
      <c r="N229" s="10"/>
      <c r="O229" s="5" t="s">
        <v>180</v>
      </c>
      <c r="P229" s="10"/>
      <c r="Q229" s="10"/>
      <c r="R229" s="10"/>
      <c r="S229" s="10"/>
      <c r="U229" s="10"/>
      <c r="V229" s="10"/>
      <c r="W229" s="10"/>
      <c r="X229" s="18">
        <f t="shared" ca="1" si="35"/>
        <v>0</v>
      </c>
      <c r="Y229" s="18">
        <f t="shared" ca="1" si="36"/>
        <v>0</v>
      </c>
      <c r="Z229" s="18">
        <f t="shared" ca="1" si="37"/>
        <v>0</v>
      </c>
      <c r="AA229" s="18">
        <f t="shared" ca="1" si="38"/>
        <v>0</v>
      </c>
      <c r="AB229" s="18">
        <f t="shared" ca="1" si="39"/>
        <v>0</v>
      </c>
      <c r="AC229" s="18">
        <f t="shared" ca="1" si="40"/>
        <v>0</v>
      </c>
      <c r="AD229" s="18">
        <f t="shared" ca="1" si="41"/>
        <v>0</v>
      </c>
      <c r="AE229" s="10"/>
    </row>
    <row r="230" spans="1:31" ht="72" customHeight="1">
      <c r="A230" s="38" t="s">
        <v>175</v>
      </c>
      <c r="B230" s="8" t="s">
        <v>136</v>
      </c>
      <c r="C230" s="16"/>
      <c r="D230" s="17"/>
      <c r="E230" s="2"/>
      <c r="F230" s="2"/>
      <c r="G230" s="2"/>
      <c r="H230" s="2"/>
      <c r="I230" s="2"/>
      <c r="J230" s="17"/>
      <c r="K230" s="1">
        <f t="shared" si="34"/>
        <v>0</v>
      </c>
      <c r="L230" s="8" t="s">
        <v>181</v>
      </c>
      <c r="M230" s="3"/>
      <c r="N230" s="10"/>
      <c r="O230" s="5" t="s">
        <v>180</v>
      </c>
      <c r="P230" s="10"/>
      <c r="Q230" s="10"/>
      <c r="R230" s="10"/>
      <c r="S230" s="10"/>
      <c r="U230" s="10"/>
      <c r="V230" s="10"/>
      <c r="W230" s="10"/>
      <c r="X230" s="18">
        <f t="shared" ca="1" si="35"/>
        <v>0</v>
      </c>
      <c r="Y230" s="18">
        <f t="shared" ca="1" si="36"/>
        <v>0</v>
      </c>
      <c r="Z230" s="18">
        <f t="shared" ca="1" si="37"/>
        <v>0</v>
      </c>
      <c r="AA230" s="18">
        <f t="shared" ca="1" si="38"/>
        <v>0</v>
      </c>
      <c r="AB230" s="18">
        <f t="shared" ca="1" si="39"/>
        <v>0</v>
      </c>
      <c r="AC230" s="18">
        <f t="shared" ca="1" si="40"/>
        <v>0</v>
      </c>
      <c r="AD230" s="18">
        <f t="shared" ca="1" si="41"/>
        <v>0</v>
      </c>
      <c r="AE230" s="10"/>
    </row>
    <row r="231" spans="1:31" ht="72" customHeight="1">
      <c r="A231" s="38" t="s">
        <v>175</v>
      </c>
      <c r="B231" s="8" t="s">
        <v>137</v>
      </c>
      <c r="C231" s="16"/>
      <c r="D231" s="17"/>
      <c r="E231" s="2"/>
      <c r="F231" s="2"/>
      <c r="G231" s="2"/>
      <c r="H231" s="2"/>
      <c r="I231" s="2"/>
      <c r="J231" s="17"/>
      <c r="K231" s="1">
        <f t="shared" si="34"/>
        <v>0</v>
      </c>
      <c r="L231" s="8" t="s">
        <v>181</v>
      </c>
      <c r="M231" s="3"/>
      <c r="N231" s="10"/>
      <c r="O231" s="5" t="s">
        <v>180</v>
      </c>
      <c r="P231" s="10"/>
      <c r="Q231" s="10"/>
      <c r="R231" s="10"/>
      <c r="S231" s="10"/>
      <c r="U231" s="10"/>
      <c r="V231" s="10"/>
      <c r="W231" s="10"/>
      <c r="X231" s="18">
        <f t="shared" ca="1" si="35"/>
        <v>0</v>
      </c>
      <c r="Y231" s="18">
        <f t="shared" ca="1" si="36"/>
        <v>0</v>
      </c>
      <c r="Z231" s="18">
        <f t="shared" ca="1" si="37"/>
        <v>0</v>
      </c>
      <c r="AA231" s="18">
        <f t="shared" ca="1" si="38"/>
        <v>0</v>
      </c>
      <c r="AB231" s="18">
        <f t="shared" ca="1" si="39"/>
        <v>0</v>
      </c>
      <c r="AC231" s="18">
        <f t="shared" ca="1" si="40"/>
        <v>0</v>
      </c>
      <c r="AD231" s="18">
        <f t="shared" ca="1" si="41"/>
        <v>0</v>
      </c>
      <c r="AE231" s="10"/>
    </row>
    <row r="232" spans="1:31" ht="72" customHeight="1">
      <c r="A232" s="38" t="s">
        <v>175</v>
      </c>
      <c r="B232" s="8" t="s">
        <v>138</v>
      </c>
      <c r="C232" s="16"/>
      <c r="D232" s="17"/>
      <c r="E232" s="2"/>
      <c r="F232" s="2"/>
      <c r="G232" s="2"/>
      <c r="H232" s="2"/>
      <c r="I232" s="2"/>
      <c r="J232" s="17"/>
      <c r="K232" s="1">
        <f t="shared" si="34"/>
        <v>0</v>
      </c>
      <c r="L232" s="8" t="s">
        <v>181</v>
      </c>
      <c r="M232" s="3"/>
      <c r="N232" s="10"/>
      <c r="O232" s="5" t="s">
        <v>180</v>
      </c>
      <c r="P232" s="10"/>
      <c r="Q232" s="10"/>
      <c r="R232" s="10"/>
      <c r="S232" s="10"/>
      <c r="U232" s="10"/>
      <c r="V232" s="10"/>
      <c r="W232" s="10"/>
      <c r="X232" s="18">
        <f t="shared" ca="1" si="35"/>
        <v>0</v>
      </c>
      <c r="Y232" s="18">
        <f t="shared" ca="1" si="36"/>
        <v>0</v>
      </c>
      <c r="Z232" s="18">
        <f t="shared" ca="1" si="37"/>
        <v>0</v>
      </c>
      <c r="AA232" s="18">
        <f t="shared" ca="1" si="38"/>
        <v>0</v>
      </c>
      <c r="AB232" s="18">
        <f t="shared" ca="1" si="39"/>
        <v>0</v>
      </c>
      <c r="AC232" s="18">
        <f t="shared" ca="1" si="40"/>
        <v>0</v>
      </c>
      <c r="AD232" s="18">
        <f t="shared" ca="1" si="41"/>
        <v>0</v>
      </c>
      <c r="AE232" s="10"/>
    </row>
    <row r="233" spans="1:31" ht="72" customHeight="1">
      <c r="A233" s="38" t="s">
        <v>175</v>
      </c>
      <c r="B233" s="8" t="s">
        <v>139</v>
      </c>
      <c r="C233" s="16"/>
      <c r="D233" s="17"/>
      <c r="E233" s="2"/>
      <c r="F233" s="2"/>
      <c r="G233" s="2"/>
      <c r="H233" s="2"/>
      <c r="I233" s="2"/>
      <c r="J233" s="17"/>
      <c r="K233" s="1">
        <f t="shared" si="34"/>
        <v>0</v>
      </c>
      <c r="L233" s="8" t="s">
        <v>181</v>
      </c>
      <c r="M233" s="3"/>
      <c r="N233" s="10"/>
      <c r="O233" s="5" t="s">
        <v>180</v>
      </c>
      <c r="P233" s="10"/>
      <c r="Q233" s="10"/>
      <c r="R233" s="10"/>
      <c r="S233" s="10"/>
      <c r="U233" s="10"/>
      <c r="V233" s="10"/>
      <c r="W233" s="10"/>
      <c r="X233" s="18">
        <f t="shared" ca="1" si="35"/>
        <v>0</v>
      </c>
      <c r="Y233" s="18">
        <f t="shared" ca="1" si="36"/>
        <v>0</v>
      </c>
      <c r="Z233" s="18">
        <f t="shared" ca="1" si="37"/>
        <v>0</v>
      </c>
      <c r="AA233" s="18">
        <f t="shared" ca="1" si="38"/>
        <v>0</v>
      </c>
      <c r="AB233" s="18">
        <f t="shared" ca="1" si="39"/>
        <v>0</v>
      </c>
      <c r="AC233" s="18">
        <f t="shared" ca="1" si="40"/>
        <v>0</v>
      </c>
      <c r="AD233" s="18">
        <f t="shared" ca="1" si="41"/>
        <v>0</v>
      </c>
      <c r="AE233" s="10"/>
    </row>
    <row r="234" spans="1:31" ht="72" customHeight="1">
      <c r="A234" s="38" t="s">
        <v>175</v>
      </c>
      <c r="B234" s="8" t="s">
        <v>140</v>
      </c>
      <c r="C234" s="16"/>
      <c r="D234" s="17"/>
      <c r="E234" s="2"/>
      <c r="F234" s="2"/>
      <c r="G234" s="2"/>
      <c r="H234" s="2"/>
      <c r="I234" s="2"/>
      <c r="J234" s="17"/>
      <c r="K234" s="1">
        <f t="shared" si="34"/>
        <v>0</v>
      </c>
      <c r="L234" s="8" t="s">
        <v>181</v>
      </c>
      <c r="M234" s="3"/>
      <c r="N234" s="10"/>
      <c r="O234" s="5" t="s">
        <v>180</v>
      </c>
      <c r="P234" s="10"/>
      <c r="Q234" s="10"/>
      <c r="R234" s="10"/>
      <c r="S234" s="10"/>
      <c r="U234" s="10"/>
      <c r="V234" s="10"/>
      <c r="W234" s="10"/>
      <c r="X234" s="18">
        <f t="shared" ca="1" si="35"/>
        <v>0</v>
      </c>
      <c r="Y234" s="18">
        <f t="shared" ca="1" si="36"/>
        <v>0</v>
      </c>
      <c r="Z234" s="18">
        <f t="shared" ca="1" si="37"/>
        <v>0</v>
      </c>
      <c r="AA234" s="18">
        <f t="shared" ca="1" si="38"/>
        <v>0</v>
      </c>
      <c r="AB234" s="18">
        <f t="shared" ca="1" si="39"/>
        <v>0</v>
      </c>
      <c r="AC234" s="18">
        <f t="shared" ca="1" si="40"/>
        <v>0</v>
      </c>
      <c r="AD234" s="18">
        <f t="shared" ca="1" si="41"/>
        <v>0</v>
      </c>
      <c r="AE234" s="10"/>
    </row>
    <row r="235" spans="1:31" ht="72" customHeight="1">
      <c r="A235" s="38" t="s">
        <v>175</v>
      </c>
      <c r="B235" s="8" t="s">
        <v>178</v>
      </c>
      <c r="C235" s="16"/>
      <c r="D235" s="17"/>
      <c r="E235" s="2"/>
      <c r="F235" s="2"/>
      <c r="G235" s="2"/>
      <c r="H235" s="2"/>
      <c r="I235" s="2"/>
      <c r="J235" s="17"/>
      <c r="K235" s="1">
        <f t="shared" si="34"/>
        <v>0</v>
      </c>
      <c r="L235" s="8" t="s">
        <v>181</v>
      </c>
      <c r="M235" s="3"/>
      <c r="N235" s="10"/>
      <c r="O235" s="5" t="s">
        <v>180</v>
      </c>
      <c r="P235" s="10"/>
      <c r="Q235" s="10"/>
      <c r="R235" s="10"/>
      <c r="S235" s="10"/>
      <c r="U235" s="10"/>
      <c r="V235" s="10"/>
      <c r="W235" s="10"/>
      <c r="X235" s="18">
        <f t="shared" ca="1" si="35"/>
        <v>0</v>
      </c>
      <c r="Y235" s="18">
        <f t="shared" ca="1" si="36"/>
        <v>0</v>
      </c>
      <c r="Z235" s="18">
        <f t="shared" ca="1" si="37"/>
        <v>0</v>
      </c>
      <c r="AA235" s="18">
        <f t="shared" ca="1" si="38"/>
        <v>0</v>
      </c>
      <c r="AB235" s="18">
        <f t="shared" ca="1" si="39"/>
        <v>0</v>
      </c>
      <c r="AC235" s="18">
        <f t="shared" ca="1" si="40"/>
        <v>0</v>
      </c>
      <c r="AD235" s="18">
        <f t="shared" ca="1" si="41"/>
        <v>0</v>
      </c>
      <c r="AE235" s="10"/>
    </row>
    <row r="236" spans="1:31" ht="72" customHeight="1">
      <c r="A236" s="38" t="s">
        <v>173</v>
      </c>
      <c r="B236" s="8" t="s">
        <v>117</v>
      </c>
      <c r="C236" s="16"/>
      <c r="D236" s="17"/>
      <c r="E236" s="2"/>
      <c r="F236" s="2"/>
      <c r="G236" s="2"/>
      <c r="H236" s="2"/>
      <c r="I236" s="2"/>
      <c r="J236" s="17"/>
      <c r="K236" s="1">
        <f t="shared" si="34"/>
        <v>0</v>
      </c>
      <c r="L236" s="8" t="s">
        <v>181</v>
      </c>
      <c r="M236" s="3"/>
      <c r="N236" s="10"/>
      <c r="O236" s="5" t="s">
        <v>180</v>
      </c>
      <c r="P236" s="10"/>
      <c r="Q236" s="10"/>
      <c r="R236" s="10"/>
      <c r="S236" s="10"/>
      <c r="U236" s="10"/>
      <c r="V236" s="10"/>
      <c r="W236" s="10"/>
      <c r="X236" s="18">
        <f t="shared" ca="1" si="35"/>
        <v>0</v>
      </c>
      <c r="Y236" s="18">
        <f t="shared" ca="1" si="36"/>
        <v>0</v>
      </c>
      <c r="Z236" s="18">
        <f t="shared" ca="1" si="37"/>
        <v>0</v>
      </c>
      <c r="AA236" s="18">
        <f t="shared" ca="1" si="38"/>
        <v>0</v>
      </c>
      <c r="AB236" s="18">
        <f t="shared" ca="1" si="39"/>
        <v>0</v>
      </c>
      <c r="AC236" s="18">
        <f t="shared" ca="1" si="40"/>
        <v>0</v>
      </c>
      <c r="AD236" s="18">
        <f t="shared" ca="1" si="41"/>
        <v>0</v>
      </c>
      <c r="AE236" s="10"/>
    </row>
    <row r="237" spans="1:31" ht="72" customHeight="1">
      <c r="A237" s="38" t="s">
        <v>173</v>
      </c>
      <c r="B237" s="8" t="s">
        <v>118</v>
      </c>
      <c r="C237" s="16"/>
      <c r="D237" s="17"/>
      <c r="E237" s="2"/>
      <c r="F237" s="2"/>
      <c r="G237" s="2"/>
      <c r="H237" s="2"/>
      <c r="I237" s="2"/>
      <c r="J237" s="17"/>
      <c r="K237" s="1">
        <f t="shared" si="34"/>
        <v>0</v>
      </c>
      <c r="L237" s="8" t="s">
        <v>181</v>
      </c>
      <c r="M237" s="3"/>
      <c r="N237" s="10"/>
      <c r="O237" s="5" t="s">
        <v>180</v>
      </c>
      <c r="P237" s="10"/>
      <c r="Q237" s="10"/>
      <c r="R237" s="10"/>
      <c r="S237" s="10"/>
      <c r="U237" s="10"/>
      <c r="V237" s="10"/>
      <c r="W237" s="10"/>
      <c r="X237" s="18">
        <f t="shared" ca="1" si="35"/>
        <v>0</v>
      </c>
      <c r="Y237" s="18">
        <f t="shared" ca="1" si="36"/>
        <v>0</v>
      </c>
      <c r="Z237" s="18">
        <f t="shared" ca="1" si="37"/>
        <v>0</v>
      </c>
      <c r="AA237" s="18">
        <f t="shared" ca="1" si="38"/>
        <v>0</v>
      </c>
      <c r="AB237" s="18">
        <f t="shared" ca="1" si="39"/>
        <v>0</v>
      </c>
      <c r="AC237" s="18">
        <f t="shared" ca="1" si="40"/>
        <v>0</v>
      </c>
      <c r="AD237" s="18">
        <f t="shared" ca="1" si="41"/>
        <v>0</v>
      </c>
      <c r="AE237" s="10"/>
    </row>
    <row r="238" spans="1:31" ht="72" customHeight="1">
      <c r="A238" s="38" t="s">
        <v>173</v>
      </c>
      <c r="B238" s="8" t="s">
        <v>119</v>
      </c>
      <c r="C238" s="16"/>
      <c r="D238" s="17"/>
      <c r="E238" s="2"/>
      <c r="F238" s="2"/>
      <c r="G238" s="2"/>
      <c r="H238" s="2"/>
      <c r="I238" s="2"/>
      <c r="J238" s="17"/>
      <c r="K238" s="1">
        <f t="shared" si="34"/>
        <v>0</v>
      </c>
      <c r="L238" s="8" t="s">
        <v>181</v>
      </c>
      <c r="M238" s="3"/>
      <c r="N238" s="10"/>
      <c r="O238" s="5" t="s">
        <v>180</v>
      </c>
      <c r="P238" s="10"/>
      <c r="Q238" s="10"/>
      <c r="R238" s="10"/>
      <c r="S238" s="10"/>
      <c r="U238" s="10"/>
      <c r="V238" s="10"/>
      <c r="W238" s="10"/>
      <c r="X238" s="18">
        <f t="shared" ca="1" si="35"/>
        <v>0</v>
      </c>
      <c r="Y238" s="18">
        <f t="shared" ca="1" si="36"/>
        <v>0</v>
      </c>
      <c r="Z238" s="18">
        <f t="shared" ca="1" si="37"/>
        <v>0</v>
      </c>
      <c r="AA238" s="18">
        <f t="shared" ca="1" si="38"/>
        <v>0</v>
      </c>
      <c r="AB238" s="18">
        <f t="shared" ca="1" si="39"/>
        <v>0</v>
      </c>
      <c r="AC238" s="18">
        <f t="shared" ca="1" si="40"/>
        <v>0</v>
      </c>
      <c r="AD238" s="18">
        <f t="shared" ca="1" si="41"/>
        <v>0</v>
      </c>
      <c r="AE238" s="10"/>
    </row>
    <row r="239" spans="1:31" ht="72" customHeight="1">
      <c r="A239" s="38" t="s">
        <v>173</v>
      </c>
      <c r="B239" s="8" t="s">
        <v>120</v>
      </c>
      <c r="C239" s="16"/>
      <c r="D239" s="17"/>
      <c r="E239" s="2"/>
      <c r="F239" s="2"/>
      <c r="G239" s="2"/>
      <c r="H239" s="2"/>
      <c r="I239" s="2"/>
      <c r="J239" s="17"/>
      <c r="K239" s="1">
        <f t="shared" si="34"/>
        <v>0</v>
      </c>
      <c r="L239" s="8" t="s">
        <v>181</v>
      </c>
      <c r="M239" s="3"/>
      <c r="N239" s="10"/>
      <c r="O239" s="5" t="s">
        <v>180</v>
      </c>
      <c r="P239" s="10"/>
      <c r="Q239" s="10"/>
      <c r="R239" s="10"/>
      <c r="S239" s="10"/>
      <c r="U239" s="10"/>
      <c r="V239" s="10"/>
      <c r="W239" s="10"/>
      <c r="X239" s="18">
        <f t="shared" ca="1" si="35"/>
        <v>0</v>
      </c>
      <c r="Y239" s="18">
        <f t="shared" ca="1" si="36"/>
        <v>0</v>
      </c>
      <c r="Z239" s="18">
        <f t="shared" ca="1" si="37"/>
        <v>0</v>
      </c>
      <c r="AA239" s="18">
        <f t="shared" ca="1" si="38"/>
        <v>0</v>
      </c>
      <c r="AB239" s="18">
        <f t="shared" ca="1" si="39"/>
        <v>0</v>
      </c>
      <c r="AC239" s="18">
        <f t="shared" ca="1" si="40"/>
        <v>0</v>
      </c>
      <c r="AD239" s="18">
        <f t="shared" ca="1" si="41"/>
        <v>0</v>
      </c>
      <c r="AE239" s="10"/>
    </row>
    <row r="240" spans="1:31" ht="72" customHeight="1">
      <c r="A240" s="38" t="s">
        <v>173</v>
      </c>
      <c r="B240" s="8" t="s">
        <v>121</v>
      </c>
      <c r="C240" s="16"/>
      <c r="D240" s="17"/>
      <c r="E240" s="2"/>
      <c r="F240" s="2"/>
      <c r="G240" s="2"/>
      <c r="H240" s="2"/>
      <c r="I240" s="2"/>
      <c r="J240" s="17"/>
      <c r="K240" s="1">
        <f t="shared" si="34"/>
        <v>0</v>
      </c>
      <c r="L240" s="8" t="s">
        <v>181</v>
      </c>
      <c r="M240" s="3"/>
      <c r="N240" s="10"/>
      <c r="O240" s="5" t="s">
        <v>180</v>
      </c>
      <c r="P240" s="10"/>
      <c r="Q240" s="10"/>
      <c r="R240" s="10"/>
      <c r="S240" s="10"/>
      <c r="U240" s="10"/>
      <c r="V240" s="10"/>
      <c r="W240" s="10"/>
      <c r="X240" s="18">
        <f t="shared" ca="1" si="35"/>
        <v>0</v>
      </c>
      <c r="Y240" s="18">
        <f t="shared" ca="1" si="36"/>
        <v>0</v>
      </c>
      <c r="Z240" s="18">
        <f t="shared" ca="1" si="37"/>
        <v>0</v>
      </c>
      <c r="AA240" s="18">
        <f t="shared" ca="1" si="38"/>
        <v>0</v>
      </c>
      <c r="AB240" s="18">
        <f t="shared" ca="1" si="39"/>
        <v>0</v>
      </c>
      <c r="AC240" s="18">
        <f t="shared" ca="1" si="40"/>
        <v>0</v>
      </c>
      <c r="AD240" s="18">
        <f t="shared" ca="1" si="41"/>
        <v>0</v>
      </c>
      <c r="AE240" s="10"/>
    </row>
    <row r="241" spans="1:31" ht="72" customHeight="1">
      <c r="A241" s="38" t="s">
        <v>173</v>
      </c>
      <c r="B241" s="8" t="s">
        <v>122</v>
      </c>
      <c r="C241" s="16"/>
      <c r="D241" s="17"/>
      <c r="E241" s="2"/>
      <c r="F241" s="2"/>
      <c r="G241" s="2"/>
      <c r="H241" s="2"/>
      <c r="I241" s="2"/>
      <c r="J241" s="17"/>
      <c r="K241" s="1">
        <f t="shared" si="34"/>
        <v>0</v>
      </c>
      <c r="L241" s="8" t="s">
        <v>181</v>
      </c>
      <c r="M241" s="3"/>
      <c r="N241" s="10"/>
      <c r="O241" s="5" t="s">
        <v>180</v>
      </c>
      <c r="P241" s="10"/>
      <c r="Q241" s="10"/>
      <c r="R241" s="10"/>
      <c r="S241" s="10"/>
      <c r="U241" s="10"/>
      <c r="V241" s="10"/>
      <c r="W241" s="10"/>
      <c r="X241" s="18">
        <f t="shared" ca="1" si="35"/>
        <v>0</v>
      </c>
      <c r="Y241" s="18">
        <f t="shared" ca="1" si="36"/>
        <v>0</v>
      </c>
      <c r="Z241" s="18">
        <f t="shared" ca="1" si="37"/>
        <v>0</v>
      </c>
      <c r="AA241" s="18">
        <f t="shared" ca="1" si="38"/>
        <v>0</v>
      </c>
      <c r="AB241" s="18">
        <f t="shared" ca="1" si="39"/>
        <v>0</v>
      </c>
      <c r="AC241" s="18">
        <f t="shared" ca="1" si="40"/>
        <v>0</v>
      </c>
      <c r="AD241" s="18">
        <f t="shared" ca="1" si="41"/>
        <v>0</v>
      </c>
      <c r="AE241" s="10"/>
    </row>
    <row r="242" spans="1:31" ht="72" customHeight="1">
      <c r="A242" s="38" t="s">
        <v>173</v>
      </c>
      <c r="B242" s="8" t="s">
        <v>123</v>
      </c>
      <c r="C242" s="16"/>
      <c r="D242" s="17"/>
      <c r="E242" s="2"/>
      <c r="F242" s="2"/>
      <c r="G242" s="2"/>
      <c r="H242" s="2"/>
      <c r="I242" s="2"/>
      <c r="J242" s="17"/>
      <c r="K242" s="1">
        <f t="shared" si="34"/>
        <v>0</v>
      </c>
      <c r="L242" s="8" t="s">
        <v>181</v>
      </c>
      <c r="M242" s="3"/>
      <c r="N242" s="10"/>
      <c r="O242" s="5" t="s">
        <v>180</v>
      </c>
      <c r="P242" s="10"/>
      <c r="Q242" s="10"/>
      <c r="R242" s="10"/>
      <c r="S242" s="10"/>
      <c r="U242" s="10"/>
      <c r="V242" s="10"/>
      <c r="W242" s="10"/>
      <c r="X242" s="18">
        <f t="shared" ca="1" si="35"/>
        <v>0</v>
      </c>
      <c r="Y242" s="18">
        <f t="shared" ca="1" si="36"/>
        <v>0</v>
      </c>
      <c r="Z242" s="18">
        <f t="shared" ca="1" si="37"/>
        <v>0</v>
      </c>
      <c r="AA242" s="18">
        <f t="shared" ca="1" si="38"/>
        <v>0</v>
      </c>
      <c r="AB242" s="18">
        <f t="shared" ca="1" si="39"/>
        <v>0</v>
      </c>
      <c r="AC242" s="18">
        <f t="shared" ca="1" si="40"/>
        <v>0</v>
      </c>
      <c r="AD242" s="18">
        <f t="shared" ca="1" si="41"/>
        <v>0</v>
      </c>
      <c r="AE242" s="10"/>
    </row>
    <row r="243" spans="1:31" ht="72" customHeight="1">
      <c r="A243" s="38" t="s">
        <v>173</v>
      </c>
      <c r="B243" s="8" t="s">
        <v>124</v>
      </c>
      <c r="C243" s="16"/>
      <c r="D243" s="17"/>
      <c r="E243" s="2"/>
      <c r="F243" s="2"/>
      <c r="G243" s="2"/>
      <c r="H243" s="2"/>
      <c r="I243" s="2"/>
      <c r="J243" s="17"/>
      <c r="K243" s="1">
        <f t="shared" si="34"/>
        <v>0</v>
      </c>
      <c r="L243" s="8" t="s">
        <v>181</v>
      </c>
      <c r="M243" s="3"/>
      <c r="N243" s="10"/>
      <c r="O243" s="5" t="s">
        <v>180</v>
      </c>
      <c r="P243" s="10"/>
      <c r="Q243" s="10"/>
      <c r="R243" s="10"/>
      <c r="S243" s="10"/>
      <c r="U243" s="10"/>
      <c r="V243" s="10"/>
      <c r="W243" s="10"/>
      <c r="X243" s="18">
        <f t="shared" ca="1" si="35"/>
        <v>0</v>
      </c>
      <c r="Y243" s="18">
        <f t="shared" ca="1" si="36"/>
        <v>0</v>
      </c>
      <c r="Z243" s="18">
        <f t="shared" ca="1" si="37"/>
        <v>0</v>
      </c>
      <c r="AA243" s="18">
        <f t="shared" ca="1" si="38"/>
        <v>0</v>
      </c>
      <c r="AB243" s="18">
        <f t="shared" ca="1" si="39"/>
        <v>0</v>
      </c>
      <c r="AC243" s="18">
        <f t="shared" ca="1" si="40"/>
        <v>0</v>
      </c>
      <c r="AD243" s="18">
        <f t="shared" ca="1" si="41"/>
        <v>0</v>
      </c>
      <c r="AE243" s="10"/>
    </row>
    <row r="244" spans="1:31" ht="72" customHeight="1">
      <c r="A244" s="38" t="s">
        <v>173</v>
      </c>
      <c r="B244" s="8" t="s">
        <v>125</v>
      </c>
      <c r="C244" s="16"/>
      <c r="D244" s="17"/>
      <c r="E244" s="2"/>
      <c r="F244" s="2"/>
      <c r="G244" s="2"/>
      <c r="H244" s="2"/>
      <c r="I244" s="2"/>
      <c r="J244" s="17"/>
      <c r="K244" s="1">
        <f t="shared" si="34"/>
        <v>0</v>
      </c>
      <c r="L244" s="8" t="s">
        <v>181</v>
      </c>
      <c r="M244" s="3"/>
      <c r="N244" s="10"/>
      <c r="O244" s="5" t="s">
        <v>180</v>
      </c>
      <c r="P244" s="10"/>
      <c r="Q244" s="10"/>
      <c r="R244" s="10"/>
      <c r="S244" s="10"/>
      <c r="U244" s="10"/>
      <c r="V244" s="10"/>
      <c r="W244" s="10"/>
      <c r="X244" s="18">
        <f t="shared" ca="1" si="35"/>
        <v>0</v>
      </c>
      <c r="Y244" s="18">
        <f t="shared" ca="1" si="36"/>
        <v>0</v>
      </c>
      <c r="Z244" s="18">
        <f t="shared" ca="1" si="37"/>
        <v>0</v>
      </c>
      <c r="AA244" s="18">
        <f t="shared" ca="1" si="38"/>
        <v>0</v>
      </c>
      <c r="AB244" s="18">
        <f t="shared" ca="1" si="39"/>
        <v>0</v>
      </c>
      <c r="AC244" s="18">
        <f t="shared" ca="1" si="40"/>
        <v>0</v>
      </c>
      <c r="AD244" s="18">
        <f t="shared" ca="1" si="41"/>
        <v>0</v>
      </c>
      <c r="AE244" s="10"/>
    </row>
    <row r="245" spans="1:31" ht="72" customHeight="1">
      <c r="A245" s="38" t="s">
        <v>173</v>
      </c>
      <c r="B245" s="8" t="s">
        <v>126</v>
      </c>
      <c r="C245" s="16"/>
      <c r="D245" s="17"/>
      <c r="E245" s="2"/>
      <c r="F245" s="2"/>
      <c r="G245" s="2"/>
      <c r="H245" s="2"/>
      <c r="I245" s="2"/>
      <c r="J245" s="17"/>
      <c r="K245" s="1">
        <f t="shared" si="34"/>
        <v>0</v>
      </c>
      <c r="L245" s="8" t="s">
        <v>181</v>
      </c>
      <c r="M245" s="3"/>
      <c r="N245" s="10"/>
      <c r="O245" s="5" t="s">
        <v>180</v>
      </c>
      <c r="P245" s="10"/>
      <c r="Q245" s="10"/>
      <c r="R245" s="10"/>
      <c r="S245" s="10"/>
      <c r="U245" s="10"/>
      <c r="V245" s="10"/>
      <c r="W245" s="10"/>
      <c r="X245" s="18">
        <f t="shared" ca="1" si="35"/>
        <v>0</v>
      </c>
      <c r="Y245" s="18">
        <f t="shared" ca="1" si="36"/>
        <v>0</v>
      </c>
      <c r="Z245" s="18">
        <f t="shared" ca="1" si="37"/>
        <v>0</v>
      </c>
      <c r="AA245" s="18">
        <f t="shared" ca="1" si="38"/>
        <v>0</v>
      </c>
      <c r="AB245" s="18">
        <f t="shared" ca="1" si="39"/>
        <v>0</v>
      </c>
      <c r="AC245" s="18">
        <f t="shared" ca="1" si="40"/>
        <v>0</v>
      </c>
      <c r="AD245" s="18">
        <f t="shared" ca="1" si="41"/>
        <v>0</v>
      </c>
      <c r="AE245" s="10"/>
    </row>
    <row r="246" spans="1:31" ht="72" customHeight="1">
      <c r="A246" s="38" t="s">
        <v>173</v>
      </c>
      <c r="B246" s="8" t="s">
        <v>127</v>
      </c>
      <c r="C246" s="16"/>
      <c r="D246" s="17"/>
      <c r="E246" s="2"/>
      <c r="F246" s="2"/>
      <c r="G246" s="2"/>
      <c r="H246" s="2"/>
      <c r="I246" s="2"/>
      <c r="J246" s="17"/>
      <c r="K246" s="1">
        <f t="shared" si="34"/>
        <v>0</v>
      </c>
      <c r="L246" s="8" t="s">
        <v>181</v>
      </c>
      <c r="M246" s="3"/>
      <c r="N246" s="10"/>
      <c r="O246" s="5" t="s">
        <v>180</v>
      </c>
      <c r="P246" s="10"/>
      <c r="Q246" s="10"/>
      <c r="R246" s="10"/>
      <c r="S246" s="10"/>
      <c r="U246" s="10"/>
      <c r="V246" s="10"/>
      <c r="W246" s="10"/>
      <c r="X246" s="18">
        <f t="shared" ca="1" si="35"/>
        <v>0</v>
      </c>
      <c r="Y246" s="18">
        <f t="shared" ca="1" si="36"/>
        <v>0</v>
      </c>
      <c r="Z246" s="18">
        <f t="shared" ca="1" si="37"/>
        <v>0</v>
      </c>
      <c r="AA246" s="18">
        <f t="shared" ca="1" si="38"/>
        <v>0</v>
      </c>
      <c r="AB246" s="18">
        <f t="shared" ca="1" si="39"/>
        <v>0</v>
      </c>
      <c r="AC246" s="18">
        <f t="shared" ca="1" si="40"/>
        <v>0</v>
      </c>
      <c r="AD246" s="18">
        <f t="shared" ca="1" si="41"/>
        <v>0</v>
      </c>
      <c r="AE246" s="10"/>
    </row>
    <row r="247" spans="1:31" ht="72" customHeight="1">
      <c r="A247" s="38" t="s">
        <v>173</v>
      </c>
      <c r="B247" s="8" t="s">
        <v>128</v>
      </c>
      <c r="C247" s="16"/>
      <c r="D247" s="17"/>
      <c r="E247" s="2"/>
      <c r="F247" s="2"/>
      <c r="G247" s="2"/>
      <c r="H247" s="2"/>
      <c r="I247" s="2"/>
      <c r="J247" s="17"/>
      <c r="K247" s="1">
        <f t="shared" si="34"/>
        <v>0</v>
      </c>
      <c r="L247" s="8" t="s">
        <v>181</v>
      </c>
      <c r="M247" s="3"/>
      <c r="N247" s="10"/>
      <c r="O247" s="5" t="s">
        <v>180</v>
      </c>
      <c r="P247" s="10"/>
      <c r="Q247" s="10"/>
      <c r="R247" s="10"/>
      <c r="S247" s="10"/>
      <c r="U247" s="10"/>
      <c r="V247" s="10"/>
      <c r="W247" s="10"/>
      <c r="X247" s="18">
        <f t="shared" ca="1" si="35"/>
        <v>0</v>
      </c>
      <c r="Y247" s="18">
        <f t="shared" ca="1" si="36"/>
        <v>0</v>
      </c>
      <c r="Z247" s="18">
        <f t="shared" ca="1" si="37"/>
        <v>0</v>
      </c>
      <c r="AA247" s="18">
        <f t="shared" ca="1" si="38"/>
        <v>0</v>
      </c>
      <c r="AB247" s="18">
        <f t="shared" ca="1" si="39"/>
        <v>0</v>
      </c>
      <c r="AC247" s="18">
        <f t="shared" ca="1" si="40"/>
        <v>0</v>
      </c>
      <c r="AD247" s="18">
        <f t="shared" ca="1" si="41"/>
        <v>0</v>
      </c>
      <c r="AE247" s="10"/>
    </row>
    <row r="248" spans="1:31" ht="72" customHeight="1">
      <c r="A248" s="38" t="s">
        <v>173</v>
      </c>
      <c r="B248" s="8" t="s">
        <v>129</v>
      </c>
      <c r="C248" s="16"/>
      <c r="D248" s="17"/>
      <c r="E248" s="2"/>
      <c r="F248" s="2"/>
      <c r="G248" s="2"/>
      <c r="H248" s="2"/>
      <c r="I248" s="2"/>
      <c r="J248" s="17"/>
      <c r="K248" s="1">
        <f t="shared" si="34"/>
        <v>0</v>
      </c>
      <c r="L248" s="8" t="s">
        <v>181</v>
      </c>
      <c r="M248" s="3"/>
      <c r="N248" s="10"/>
      <c r="O248" s="5" t="s">
        <v>180</v>
      </c>
      <c r="P248" s="10"/>
      <c r="Q248" s="10"/>
      <c r="R248" s="10"/>
      <c r="S248" s="10"/>
      <c r="U248" s="10"/>
      <c r="V248" s="10"/>
      <c r="W248" s="10"/>
      <c r="X248" s="18">
        <f t="shared" ca="1" si="35"/>
        <v>0</v>
      </c>
      <c r="Y248" s="18">
        <f t="shared" ca="1" si="36"/>
        <v>0</v>
      </c>
      <c r="Z248" s="18">
        <f t="shared" ca="1" si="37"/>
        <v>0</v>
      </c>
      <c r="AA248" s="18">
        <f t="shared" ca="1" si="38"/>
        <v>0</v>
      </c>
      <c r="AB248" s="18">
        <f t="shared" ca="1" si="39"/>
        <v>0</v>
      </c>
      <c r="AC248" s="18">
        <f t="shared" ca="1" si="40"/>
        <v>0</v>
      </c>
      <c r="AD248" s="18">
        <f t="shared" ca="1" si="41"/>
        <v>0</v>
      </c>
      <c r="AE248" s="10"/>
    </row>
    <row r="249" spans="1:31" ht="72" customHeight="1">
      <c r="A249" s="38" t="s">
        <v>173</v>
      </c>
      <c r="B249" s="8" t="s">
        <v>130</v>
      </c>
      <c r="C249" s="16"/>
      <c r="D249" s="17"/>
      <c r="E249" s="2"/>
      <c r="F249" s="2"/>
      <c r="G249" s="2"/>
      <c r="H249" s="2"/>
      <c r="I249" s="2"/>
      <c r="J249" s="17"/>
      <c r="K249" s="1">
        <f t="shared" si="34"/>
        <v>0</v>
      </c>
      <c r="L249" s="8" t="s">
        <v>181</v>
      </c>
      <c r="M249" s="3"/>
      <c r="N249" s="10"/>
      <c r="O249" s="5" t="s">
        <v>180</v>
      </c>
      <c r="P249" s="10"/>
      <c r="Q249" s="10"/>
      <c r="R249" s="10"/>
      <c r="S249" s="10"/>
      <c r="U249" s="10"/>
      <c r="V249" s="10"/>
      <c r="W249" s="10"/>
      <c r="X249" s="18">
        <f t="shared" ca="1" si="35"/>
        <v>0</v>
      </c>
      <c r="Y249" s="18">
        <f t="shared" ca="1" si="36"/>
        <v>0</v>
      </c>
      <c r="Z249" s="18">
        <f t="shared" ca="1" si="37"/>
        <v>0</v>
      </c>
      <c r="AA249" s="18">
        <f t="shared" ca="1" si="38"/>
        <v>0</v>
      </c>
      <c r="AB249" s="18">
        <f t="shared" ca="1" si="39"/>
        <v>0</v>
      </c>
      <c r="AC249" s="18">
        <f t="shared" ca="1" si="40"/>
        <v>0</v>
      </c>
      <c r="AD249" s="18">
        <f t="shared" ca="1" si="41"/>
        <v>0</v>
      </c>
      <c r="AE249" s="10"/>
    </row>
    <row r="250" spans="1:31" ht="72" customHeight="1">
      <c r="A250" s="38" t="s">
        <v>173</v>
      </c>
      <c r="B250" s="8" t="s">
        <v>131</v>
      </c>
      <c r="C250" s="16"/>
      <c r="D250" s="17"/>
      <c r="E250" s="2"/>
      <c r="F250" s="2"/>
      <c r="G250" s="2"/>
      <c r="H250" s="2"/>
      <c r="I250" s="2"/>
      <c r="J250" s="17"/>
      <c r="K250" s="1">
        <f t="shared" si="34"/>
        <v>0</v>
      </c>
      <c r="L250" s="8" t="s">
        <v>181</v>
      </c>
      <c r="M250" s="3"/>
      <c r="N250" s="10"/>
      <c r="O250" s="5" t="s">
        <v>180</v>
      </c>
      <c r="P250" s="10"/>
      <c r="Q250" s="10"/>
      <c r="R250" s="10"/>
      <c r="S250" s="10"/>
      <c r="U250" s="10"/>
      <c r="V250" s="10"/>
      <c r="W250" s="10"/>
      <c r="X250" s="18">
        <f t="shared" ca="1" si="35"/>
        <v>0</v>
      </c>
      <c r="Y250" s="18">
        <f t="shared" ca="1" si="36"/>
        <v>0</v>
      </c>
      <c r="Z250" s="18">
        <f t="shared" ca="1" si="37"/>
        <v>0</v>
      </c>
      <c r="AA250" s="18">
        <f t="shared" ca="1" si="38"/>
        <v>0</v>
      </c>
      <c r="AB250" s="18">
        <f t="shared" ca="1" si="39"/>
        <v>0</v>
      </c>
      <c r="AC250" s="18">
        <f t="shared" ca="1" si="40"/>
        <v>0</v>
      </c>
      <c r="AD250" s="18">
        <f t="shared" ca="1" si="41"/>
        <v>0</v>
      </c>
      <c r="AE250" s="10"/>
    </row>
    <row r="251" spans="1:31" ht="72" customHeight="1">
      <c r="A251" s="38" t="s">
        <v>173</v>
      </c>
      <c r="B251" s="8" t="s">
        <v>132</v>
      </c>
      <c r="C251" s="16"/>
      <c r="D251" s="17"/>
      <c r="E251" s="2"/>
      <c r="F251" s="2"/>
      <c r="G251" s="2"/>
      <c r="H251" s="2"/>
      <c r="I251" s="2"/>
      <c r="J251" s="17"/>
      <c r="K251" s="1">
        <f t="shared" si="34"/>
        <v>0</v>
      </c>
      <c r="L251" s="8" t="s">
        <v>181</v>
      </c>
      <c r="M251" s="3"/>
      <c r="N251" s="10"/>
      <c r="O251" s="5" t="s">
        <v>180</v>
      </c>
      <c r="P251" s="10"/>
      <c r="Q251" s="10"/>
      <c r="R251" s="10"/>
      <c r="S251" s="10"/>
      <c r="U251" s="10"/>
      <c r="V251" s="10"/>
      <c r="W251" s="10"/>
      <c r="X251" s="18">
        <f t="shared" ca="1" si="35"/>
        <v>0</v>
      </c>
      <c r="Y251" s="18">
        <f t="shared" ca="1" si="36"/>
        <v>0</v>
      </c>
      <c r="Z251" s="18">
        <f t="shared" ca="1" si="37"/>
        <v>0</v>
      </c>
      <c r="AA251" s="18">
        <f t="shared" ca="1" si="38"/>
        <v>0</v>
      </c>
      <c r="AB251" s="18">
        <f t="shared" ca="1" si="39"/>
        <v>0</v>
      </c>
      <c r="AC251" s="18">
        <f t="shared" ca="1" si="40"/>
        <v>0</v>
      </c>
      <c r="AD251" s="18">
        <f t="shared" ca="1" si="41"/>
        <v>0</v>
      </c>
      <c r="AE251" s="10"/>
    </row>
    <row r="252" spans="1:31" ht="72" customHeight="1">
      <c r="A252" s="38" t="s">
        <v>173</v>
      </c>
      <c r="B252" s="8" t="s">
        <v>133</v>
      </c>
      <c r="C252" s="16"/>
      <c r="D252" s="17"/>
      <c r="E252" s="2"/>
      <c r="F252" s="2"/>
      <c r="G252" s="2"/>
      <c r="H252" s="2"/>
      <c r="I252" s="2"/>
      <c r="J252" s="17"/>
      <c r="K252" s="1">
        <f t="shared" si="34"/>
        <v>0</v>
      </c>
      <c r="L252" s="8" t="s">
        <v>181</v>
      </c>
      <c r="M252" s="3"/>
      <c r="N252" s="10"/>
      <c r="O252" s="5" t="s">
        <v>180</v>
      </c>
      <c r="P252" s="10"/>
      <c r="Q252" s="10"/>
      <c r="R252" s="10"/>
      <c r="S252" s="10"/>
      <c r="U252" s="10"/>
      <c r="V252" s="10"/>
      <c r="W252" s="10"/>
      <c r="X252" s="18">
        <f t="shared" ca="1" si="35"/>
        <v>0</v>
      </c>
      <c r="Y252" s="18">
        <f t="shared" ca="1" si="36"/>
        <v>0</v>
      </c>
      <c r="Z252" s="18">
        <f t="shared" ca="1" si="37"/>
        <v>0</v>
      </c>
      <c r="AA252" s="18">
        <f t="shared" ca="1" si="38"/>
        <v>0</v>
      </c>
      <c r="AB252" s="18">
        <f t="shared" ca="1" si="39"/>
        <v>0</v>
      </c>
      <c r="AC252" s="18">
        <f t="shared" ca="1" si="40"/>
        <v>0</v>
      </c>
      <c r="AD252" s="18">
        <f t="shared" ca="1" si="41"/>
        <v>0</v>
      </c>
      <c r="AE252" s="10"/>
    </row>
    <row r="253" spans="1:31" ht="72" customHeight="1">
      <c r="A253" s="38" t="s">
        <v>173</v>
      </c>
      <c r="B253" s="8" t="s">
        <v>134</v>
      </c>
      <c r="C253" s="16"/>
      <c r="D253" s="17"/>
      <c r="E253" s="2"/>
      <c r="F253" s="2"/>
      <c r="G253" s="2"/>
      <c r="H253" s="2"/>
      <c r="I253" s="2"/>
      <c r="J253" s="17"/>
      <c r="K253" s="1">
        <f t="shared" si="34"/>
        <v>0</v>
      </c>
      <c r="L253" s="8" t="s">
        <v>181</v>
      </c>
      <c r="M253" s="3"/>
      <c r="N253" s="10"/>
      <c r="O253" s="5" t="s">
        <v>180</v>
      </c>
      <c r="P253" s="10"/>
      <c r="Q253" s="10"/>
      <c r="R253" s="10"/>
      <c r="S253" s="10"/>
      <c r="U253" s="10"/>
      <c r="V253" s="10"/>
      <c r="W253" s="10"/>
      <c r="X253" s="18">
        <f t="shared" ca="1" si="35"/>
        <v>0</v>
      </c>
      <c r="Y253" s="18">
        <f t="shared" ca="1" si="36"/>
        <v>0</v>
      </c>
      <c r="Z253" s="18">
        <f t="shared" ca="1" si="37"/>
        <v>0</v>
      </c>
      <c r="AA253" s="18">
        <f t="shared" ca="1" si="38"/>
        <v>0</v>
      </c>
      <c r="AB253" s="18">
        <f t="shared" ca="1" si="39"/>
        <v>0</v>
      </c>
      <c r="AC253" s="18">
        <f t="shared" ca="1" si="40"/>
        <v>0</v>
      </c>
      <c r="AD253" s="18">
        <f t="shared" ca="1" si="41"/>
        <v>0</v>
      </c>
      <c r="AE253" s="10"/>
    </row>
    <row r="254" spans="1:31" ht="72" customHeight="1">
      <c r="A254" s="38" t="s">
        <v>173</v>
      </c>
      <c r="B254" s="8" t="s">
        <v>135</v>
      </c>
      <c r="C254" s="16"/>
      <c r="D254" s="17"/>
      <c r="E254" s="2"/>
      <c r="F254" s="2"/>
      <c r="G254" s="2"/>
      <c r="H254" s="2"/>
      <c r="I254" s="2"/>
      <c r="J254" s="17"/>
      <c r="K254" s="1">
        <f t="shared" si="34"/>
        <v>0</v>
      </c>
      <c r="L254" s="8" t="s">
        <v>181</v>
      </c>
      <c r="M254" s="3"/>
      <c r="N254" s="10"/>
      <c r="O254" s="5" t="s">
        <v>180</v>
      </c>
      <c r="P254" s="10"/>
      <c r="Q254" s="10"/>
      <c r="R254" s="10"/>
      <c r="S254" s="10"/>
      <c r="U254" s="10"/>
      <c r="V254" s="10"/>
      <c r="W254" s="10"/>
      <c r="X254" s="18">
        <f t="shared" ca="1" si="35"/>
        <v>0</v>
      </c>
      <c r="Y254" s="18">
        <f t="shared" ca="1" si="36"/>
        <v>0</v>
      </c>
      <c r="Z254" s="18">
        <f t="shared" ca="1" si="37"/>
        <v>0</v>
      </c>
      <c r="AA254" s="18">
        <f t="shared" ca="1" si="38"/>
        <v>0</v>
      </c>
      <c r="AB254" s="18">
        <f t="shared" ca="1" si="39"/>
        <v>0</v>
      </c>
      <c r="AC254" s="18">
        <f t="shared" ca="1" si="40"/>
        <v>0</v>
      </c>
      <c r="AD254" s="18">
        <f t="shared" ca="1" si="41"/>
        <v>0</v>
      </c>
      <c r="AE254" s="10"/>
    </row>
    <row r="255" spans="1:31" ht="72" customHeight="1">
      <c r="A255" s="38" t="s">
        <v>173</v>
      </c>
      <c r="B255" s="8" t="s">
        <v>136</v>
      </c>
      <c r="C255" s="16"/>
      <c r="D255" s="17"/>
      <c r="E255" s="2"/>
      <c r="F255" s="2"/>
      <c r="G255" s="2"/>
      <c r="H255" s="2"/>
      <c r="I255" s="2"/>
      <c r="J255" s="17"/>
      <c r="K255" s="1">
        <f t="shared" si="34"/>
        <v>0</v>
      </c>
      <c r="L255" s="8" t="s">
        <v>181</v>
      </c>
      <c r="M255" s="3"/>
      <c r="N255" s="10"/>
      <c r="O255" s="5" t="s">
        <v>180</v>
      </c>
      <c r="P255" s="10"/>
      <c r="Q255" s="10"/>
      <c r="R255" s="10"/>
      <c r="S255" s="10"/>
      <c r="U255" s="10"/>
      <c r="V255" s="10"/>
      <c r="W255" s="10"/>
      <c r="X255" s="18">
        <f t="shared" ca="1" si="35"/>
        <v>0</v>
      </c>
      <c r="Y255" s="18">
        <f t="shared" ca="1" si="36"/>
        <v>0</v>
      </c>
      <c r="Z255" s="18">
        <f t="shared" ca="1" si="37"/>
        <v>0</v>
      </c>
      <c r="AA255" s="18">
        <f t="shared" ca="1" si="38"/>
        <v>0</v>
      </c>
      <c r="AB255" s="18">
        <f t="shared" ca="1" si="39"/>
        <v>0</v>
      </c>
      <c r="AC255" s="18">
        <f t="shared" ca="1" si="40"/>
        <v>0</v>
      </c>
      <c r="AD255" s="18">
        <f t="shared" ca="1" si="41"/>
        <v>0</v>
      </c>
      <c r="AE255" s="10"/>
    </row>
    <row r="256" spans="1:31" ht="72" customHeight="1">
      <c r="A256" s="38" t="s">
        <v>173</v>
      </c>
      <c r="B256" s="8" t="s">
        <v>137</v>
      </c>
      <c r="C256" s="16"/>
      <c r="D256" s="17"/>
      <c r="E256" s="2"/>
      <c r="F256" s="2"/>
      <c r="G256" s="2"/>
      <c r="H256" s="2"/>
      <c r="I256" s="2"/>
      <c r="J256" s="17"/>
      <c r="K256" s="1">
        <f t="shared" si="34"/>
        <v>0</v>
      </c>
      <c r="L256" s="8" t="s">
        <v>181</v>
      </c>
      <c r="M256" s="3"/>
      <c r="N256" s="10"/>
      <c r="O256" s="5" t="s">
        <v>180</v>
      </c>
      <c r="P256" s="10"/>
      <c r="Q256" s="10"/>
      <c r="R256" s="10"/>
      <c r="S256" s="10"/>
      <c r="U256" s="10"/>
      <c r="V256" s="10"/>
      <c r="W256" s="10"/>
      <c r="X256" s="18">
        <f t="shared" ca="1" si="35"/>
        <v>0</v>
      </c>
      <c r="Y256" s="18">
        <f t="shared" ca="1" si="36"/>
        <v>0</v>
      </c>
      <c r="Z256" s="18">
        <f t="shared" ca="1" si="37"/>
        <v>0</v>
      </c>
      <c r="AA256" s="18">
        <f t="shared" ca="1" si="38"/>
        <v>0</v>
      </c>
      <c r="AB256" s="18">
        <f t="shared" ca="1" si="39"/>
        <v>0</v>
      </c>
      <c r="AC256" s="18">
        <f t="shared" ca="1" si="40"/>
        <v>0</v>
      </c>
      <c r="AD256" s="18">
        <f t="shared" ca="1" si="41"/>
        <v>0</v>
      </c>
      <c r="AE256" s="10"/>
    </row>
    <row r="257" spans="1:31" ht="72" customHeight="1">
      <c r="A257" s="38" t="s">
        <v>173</v>
      </c>
      <c r="B257" s="8" t="s">
        <v>138</v>
      </c>
      <c r="C257" s="16"/>
      <c r="D257" s="17"/>
      <c r="E257" s="2"/>
      <c r="F257" s="2"/>
      <c r="G257" s="2"/>
      <c r="H257" s="2"/>
      <c r="I257" s="2"/>
      <c r="J257" s="17"/>
      <c r="K257" s="1">
        <f t="shared" si="34"/>
        <v>0</v>
      </c>
      <c r="L257" s="8" t="s">
        <v>181</v>
      </c>
      <c r="M257" s="3"/>
      <c r="N257" s="10"/>
      <c r="O257" s="5" t="s">
        <v>180</v>
      </c>
      <c r="P257" s="10"/>
      <c r="Q257" s="10"/>
      <c r="R257" s="10"/>
      <c r="S257" s="10"/>
      <c r="U257" s="10"/>
      <c r="V257" s="10"/>
      <c r="W257" s="10"/>
      <c r="X257" s="18">
        <f t="shared" ca="1" si="35"/>
        <v>0</v>
      </c>
      <c r="Y257" s="18">
        <f t="shared" ca="1" si="36"/>
        <v>0</v>
      </c>
      <c r="Z257" s="18">
        <f t="shared" ca="1" si="37"/>
        <v>0</v>
      </c>
      <c r="AA257" s="18">
        <f t="shared" ca="1" si="38"/>
        <v>0</v>
      </c>
      <c r="AB257" s="18">
        <f t="shared" ca="1" si="39"/>
        <v>0</v>
      </c>
      <c r="AC257" s="18">
        <f t="shared" ca="1" si="40"/>
        <v>0</v>
      </c>
      <c r="AD257" s="18">
        <f t="shared" ca="1" si="41"/>
        <v>0</v>
      </c>
      <c r="AE257" s="10"/>
    </row>
    <row r="258" spans="1:31" ht="72" customHeight="1">
      <c r="A258" s="38" t="s">
        <v>173</v>
      </c>
      <c r="B258" s="8" t="s">
        <v>139</v>
      </c>
      <c r="C258" s="16"/>
      <c r="D258" s="17"/>
      <c r="E258" s="2"/>
      <c r="F258" s="2"/>
      <c r="G258" s="2"/>
      <c r="H258" s="2"/>
      <c r="I258" s="2"/>
      <c r="J258" s="17"/>
      <c r="K258" s="1">
        <f t="shared" si="34"/>
        <v>0</v>
      </c>
      <c r="L258" s="8" t="s">
        <v>181</v>
      </c>
      <c r="M258" s="3"/>
      <c r="N258" s="10"/>
      <c r="O258" s="5" t="s">
        <v>180</v>
      </c>
      <c r="P258" s="10"/>
      <c r="Q258" s="10"/>
      <c r="R258" s="10"/>
      <c r="S258" s="10"/>
      <c r="U258" s="10"/>
      <c r="V258" s="10"/>
      <c r="W258" s="10"/>
      <c r="X258" s="18">
        <f t="shared" ca="1" si="35"/>
        <v>0</v>
      </c>
      <c r="Y258" s="18">
        <f t="shared" ca="1" si="36"/>
        <v>0</v>
      </c>
      <c r="Z258" s="18">
        <f t="shared" ca="1" si="37"/>
        <v>0</v>
      </c>
      <c r="AA258" s="18">
        <f t="shared" ca="1" si="38"/>
        <v>0</v>
      </c>
      <c r="AB258" s="18">
        <f t="shared" ca="1" si="39"/>
        <v>0</v>
      </c>
      <c r="AC258" s="18">
        <f t="shared" ca="1" si="40"/>
        <v>0</v>
      </c>
      <c r="AD258" s="18">
        <f t="shared" ca="1" si="41"/>
        <v>0</v>
      </c>
      <c r="AE258" s="10"/>
    </row>
    <row r="259" spans="1:31" ht="72" customHeight="1">
      <c r="A259" s="38" t="s">
        <v>173</v>
      </c>
      <c r="B259" s="8" t="s">
        <v>140</v>
      </c>
      <c r="C259" s="16"/>
      <c r="D259" s="17"/>
      <c r="E259" s="2"/>
      <c r="F259" s="2"/>
      <c r="G259" s="2"/>
      <c r="H259" s="2"/>
      <c r="I259" s="2"/>
      <c r="J259" s="17"/>
      <c r="K259" s="1">
        <f t="shared" si="34"/>
        <v>0</v>
      </c>
      <c r="L259" s="8" t="s">
        <v>181</v>
      </c>
      <c r="M259" s="3"/>
      <c r="N259" s="10"/>
      <c r="O259" s="5" t="s">
        <v>180</v>
      </c>
      <c r="P259" s="10"/>
      <c r="Q259" s="10"/>
      <c r="R259" s="10"/>
      <c r="S259" s="10"/>
      <c r="U259" s="10"/>
      <c r="V259" s="10"/>
      <c r="W259" s="10"/>
      <c r="X259" s="18">
        <f t="shared" ca="1" si="35"/>
        <v>0</v>
      </c>
      <c r="Y259" s="18">
        <f t="shared" ca="1" si="36"/>
        <v>0</v>
      </c>
      <c r="Z259" s="18">
        <f t="shared" ca="1" si="37"/>
        <v>0</v>
      </c>
      <c r="AA259" s="18">
        <f t="shared" ca="1" si="38"/>
        <v>0</v>
      </c>
      <c r="AB259" s="18">
        <f t="shared" ca="1" si="39"/>
        <v>0</v>
      </c>
      <c r="AC259" s="18">
        <f t="shared" ca="1" si="40"/>
        <v>0</v>
      </c>
      <c r="AD259" s="18">
        <f t="shared" ca="1" si="41"/>
        <v>0</v>
      </c>
      <c r="AE259" s="10"/>
    </row>
    <row r="260" spans="1:31" ht="72" customHeight="1">
      <c r="A260" s="38" t="s">
        <v>173</v>
      </c>
      <c r="B260" s="8" t="s">
        <v>178</v>
      </c>
      <c r="C260" s="16"/>
      <c r="D260" s="17"/>
      <c r="E260" s="2"/>
      <c r="F260" s="2"/>
      <c r="G260" s="2"/>
      <c r="H260" s="2"/>
      <c r="I260" s="2"/>
      <c r="J260" s="17"/>
      <c r="K260" s="1">
        <f t="shared" si="34"/>
        <v>0</v>
      </c>
      <c r="L260" s="8" t="s">
        <v>181</v>
      </c>
      <c r="M260" s="3"/>
      <c r="N260" s="10"/>
      <c r="O260" s="5" t="s">
        <v>180</v>
      </c>
      <c r="P260" s="10"/>
      <c r="Q260" s="10"/>
      <c r="R260" s="10"/>
      <c r="S260" s="10"/>
      <c r="U260" s="10"/>
      <c r="V260" s="10"/>
      <c r="W260" s="10"/>
      <c r="X260" s="18">
        <f t="shared" ca="1" si="35"/>
        <v>0</v>
      </c>
      <c r="Y260" s="18">
        <f t="shared" ca="1" si="36"/>
        <v>0</v>
      </c>
      <c r="Z260" s="18">
        <f t="shared" ca="1" si="37"/>
        <v>0</v>
      </c>
      <c r="AA260" s="18">
        <f t="shared" ca="1" si="38"/>
        <v>0</v>
      </c>
      <c r="AB260" s="18">
        <f t="shared" ca="1" si="39"/>
        <v>0</v>
      </c>
      <c r="AC260" s="18">
        <f t="shared" ca="1" si="40"/>
        <v>0</v>
      </c>
      <c r="AD260" s="18">
        <f t="shared" ca="1" si="41"/>
        <v>0</v>
      </c>
      <c r="AE260" s="10"/>
    </row>
    <row r="261" spans="1:31" ht="72" customHeight="1">
      <c r="A261" s="38" t="s">
        <v>76</v>
      </c>
      <c r="B261" s="8" t="s">
        <v>117</v>
      </c>
      <c r="C261" s="16"/>
      <c r="D261" s="17"/>
      <c r="E261" s="2"/>
      <c r="F261" s="2"/>
      <c r="G261" s="2"/>
      <c r="H261" s="2"/>
      <c r="I261" s="2"/>
      <c r="J261" s="17"/>
      <c r="K261" s="1">
        <f t="shared" si="34"/>
        <v>0</v>
      </c>
      <c r="L261" s="8" t="s">
        <v>181</v>
      </c>
      <c r="M261" s="3"/>
      <c r="N261" s="10"/>
      <c r="O261" s="5" t="s">
        <v>180</v>
      </c>
      <c r="P261" s="10"/>
      <c r="Q261" s="10"/>
      <c r="R261" s="10"/>
      <c r="S261" s="10"/>
      <c r="U261" s="10"/>
      <c r="V261" s="10"/>
      <c r="W261" s="10"/>
      <c r="X261" s="18">
        <f t="shared" ca="1" si="35"/>
        <v>0</v>
      </c>
      <c r="Y261" s="18">
        <f t="shared" ca="1" si="36"/>
        <v>0</v>
      </c>
      <c r="Z261" s="18">
        <f t="shared" ca="1" si="37"/>
        <v>0</v>
      </c>
      <c r="AA261" s="18">
        <f t="shared" ca="1" si="38"/>
        <v>0</v>
      </c>
      <c r="AB261" s="18">
        <f t="shared" ca="1" si="39"/>
        <v>0</v>
      </c>
      <c r="AC261" s="18">
        <f t="shared" ca="1" si="40"/>
        <v>0</v>
      </c>
      <c r="AD261" s="18">
        <f t="shared" ca="1" si="41"/>
        <v>0</v>
      </c>
      <c r="AE261" s="10"/>
    </row>
    <row r="262" spans="1:31" ht="72" customHeight="1">
      <c r="A262" s="38" t="s">
        <v>76</v>
      </c>
      <c r="B262" s="8" t="s">
        <v>118</v>
      </c>
      <c r="C262" s="16"/>
      <c r="D262" s="17"/>
      <c r="E262" s="2"/>
      <c r="F262" s="2"/>
      <c r="G262" s="2"/>
      <c r="H262" s="2"/>
      <c r="I262" s="2"/>
      <c r="J262" s="17"/>
      <c r="K262" s="1">
        <f t="shared" si="34"/>
        <v>0</v>
      </c>
      <c r="L262" s="8" t="s">
        <v>181</v>
      </c>
      <c r="M262" s="3"/>
      <c r="N262" s="10"/>
      <c r="O262" s="5" t="s">
        <v>180</v>
      </c>
      <c r="P262" s="10"/>
      <c r="Q262" s="10"/>
      <c r="R262" s="10"/>
      <c r="S262" s="10"/>
      <c r="U262" s="10"/>
      <c r="V262" s="10"/>
      <c r="W262" s="10"/>
      <c r="X262" s="18">
        <f t="shared" ca="1" si="35"/>
        <v>0</v>
      </c>
      <c r="Y262" s="18">
        <f t="shared" ca="1" si="36"/>
        <v>0</v>
      </c>
      <c r="Z262" s="18">
        <f t="shared" ca="1" si="37"/>
        <v>0</v>
      </c>
      <c r="AA262" s="18">
        <f t="shared" ca="1" si="38"/>
        <v>0</v>
      </c>
      <c r="AB262" s="18">
        <f t="shared" ca="1" si="39"/>
        <v>0</v>
      </c>
      <c r="AC262" s="18">
        <f t="shared" ca="1" si="40"/>
        <v>0</v>
      </c>
      <c r="AD262" s="18">
        <f t="shared" ca="1" si="41"/>
        <v>0</v>
      </c>
      <c r="AE262" s="10"/>
    </row>
    <row r="263" spans="1:31" ht="72" customHeight="1">
      <c r="A263" s="38" t="s">
        <v>76</v>
      </c>
      <c r="B263" s="8" t="s">
        <v>119</v>
      </c>
      <c r="C263" s="16"/>
      <c r="D263" s="17"/>
      <c r="E263" s="2"/>
      <c r="F263" s="2"/>
      <c r="G263" s="2"/>
      <c r="H263" s="2"/>
      <c r="I263" s="2"/>
      <c r="J263" s="17"/>
      <c r="K263" s="1">
        <f t="shared" si="34"/>
        <v>0</v>
      </c>
      <c r="L263" s="8" t="s">
        <v>181</v>
      </c>
      <c r="M263" s="3"/>
      <c r="N263" s="10"/>
      <c r="O263" s="5" t="s">
        <v>180</v>
      </c>
      <c r="P263" s="10"/>
      <c r="Q263" s="10"/>
      <c r="R263" s="10"/>
      <c r="S263" s="10"/>
      <c r="U263" s="10"/>
      <c r="V263" s="10"/>
      <c r="W263" s="10"/>
      <c r="X263" s="18">
        <f t="shared" ca="1" si="35"/>
        <v>0</v>
      </c>
      <c r="Y263" s="18">
        <f t="shared" ca="1" si="36"/>
        <v>0</v>
      </c>
      <c r="Z263" s="18">
        <f t="shared" ca="1" si="37"/>
        <v>0</v>
      </c>
      <c r="AA263" s="18">
        <f t="shared" ca="1" si="38"/>
        <v>0</v>
      </c>
      <c r="AB263" s="18">
        <f t="shared" ca="1" si="39"/>
        <v>0</v>
      </c>
      <c r="AC263" s="18">
        <f t="shared" ca="1" si="40"/>
        <v>0</v>
      </c>
      <c r="AD263" s="18">
        <f t="shared" ca="1" si="41"/>
        <v>0</v>
      </c>
      <c r="AE263" s="10"/>
    </row>
    <row r="264" spans="1:31" ht="72" customHeight="1">
      <c r="A264" s="38" t="s">
        <v>76</v>
      </c>
      <c r="B264" s="8" t="s">
        <v>120</v>
      </c>
      <c r="C264" s="16"/>
      <c r="D264" s="17"/>
      <c r="E264" s="2"/>
      <c r="F264" s="2"/>
      <c r="G264" s="2"/>
      <c r="H264" s="2"/>
      <c r="I264" s="2"/>
      <c r="J264" s="17"/>
      <c r="K264" s="1">
        <f t="shared" si="34"/>
        <v>0</v>
      </c>
      <c r="L264" s="8" t="s">
        <v>181</v>
      </c>
      <c r="M264" s="3"/>
      <c r="N264" s="10"/>
      <c r="O264" s="5" t="s">
        <v>180</v>
      </c>
      <c r="P264" s="10"/>
      <c r="Q264" s="10"/>
      <c r="R264" s="10"/>
      <c r="S264" s="10"/>
      <c r="U264" s="10"/>
      <c r="V264" s="10"/>
      <c r="W264" s="10"/>
      <c r="X264" s="18">
        <f t="shared" ca="1" si="35"/>
        <v>0</v>
      </c>
      <c r="Y264" s="18">
        <f t="shared" ca="1" si="36"/>
        <v>0</v>
      </c>
      <c r="Z264" s="18">
        <f t="shared" ca="1" si="37"/>
        <v>0</v>
      </c>
      <c r="AA264" s="18">
        <f t="shared" ca="1" si="38"/>
        <v>0</v>
      </c>
      <c r="AB264" s="18">
        <f t="shared" ca="1" si="39"/>
        <v>0</v>
      </c>
      <c r="AC264" s="18">
        <f t="shared" ca="1" si="40"/>
        <v>0</v>
      </c>
      <c r="AD264" s="18">
        <f t="shared" ca="1" si="41"/>
        <v>0</v>
      </c>
      <c r="AE264" s="10"/>
    </row>
    <row r="265" spans="1:31" ht="72" customHeight="1">
      <c r="A265" s="38" t="s">
        <v>76</v>
      </c>
      <c r="B265" s="8" t="s">
        <v>121</v>
      </c>
      <c r="C265" s="16"/>
      <c r="D265" s="17"/>
      <c r="E265" s="2"/>
      <c r="F265" s="2"/>
      <c r="G265" s="2"/>
      <c r="H265" s="2"/>
      <c r="I265" s="2"/>
      <c r="J265" s="17"/>
      <c r="K265" s="1">
        <f t="shared" si="34"/>
        <v>0</v>
      </c>
      <c r="L265" s="8" t="s">
        <v>181</v>
      </c>
      <c r="M265" s="3"/>
      <c r="N265" s="10"/>
      <c r="O265" s="5" t="s">
        <v>180</v>
      </c>
      <c r="P265" s="10"/>
      <c r="Q265" s="10"/>
      <c r="R265" s="10"/>
      <c r="S265" s="10"/>
      <c r="U265" s="10"/>
      <c r="V265" s="10"/>
      <c r="W265" s="10"/>
      <c r="X265" s="18">
        <f t="shared" ca="1" si="35"/>
        <v>0</v>
      </c>
      <c r="Y265" s="18">
        <f t="shared" ca="1" si="36"/>
        <v>0</v>
      </c>
      <c r="Z265" s="18">
        <f t="shared" ca="1" si="37"/>
        <v>0</v>
      </c>
      <c r="AA265" s="18">
        <f t="shared" ca="1" si="38"/>
        <v>0</v>
      </c>
      <c r="AB265" s="18">
        <f t="shared" ca="1" si="39"/>
        <v>0</v>
      </c>
      <c r="AC265" s="18">
        <f t="shared" ca="1" si="40"/>
        <v>0</v>
      </c>
      <c r="AD265" s="18">
        <f t="shared" ca="1" si="41"/>
        <v>0</v>
      </c>
      <c r="AE265" s="10"/>
    </row>
    <row r="266" spans="1:31" ht="72" customHeight="1">
      <c r="A266" s="38" t="s">
        <v>76</v>
      </c>
      <c r="B266" s="8" t="s">
        <v>122</v>
      </c>
      <c r="C266" s="16"/>
      <c r="D266" s="17"/>
      <c r="E266" s="2"/>
      <c r="F266" s="2"/>
      <c r="G266" s="2"/>
      <c r="H266" s="2"/>
      <c r="I266" s="2"/>
      <c r="J266" s="17"/>
      <c r="K266" s="1">
        <f t="shared" si="34"/>
        <v>0</v>
      </c>
      <c r="L266" s="8" t="s">
        <v>181</v>
      </c>
      <c r="M266" s="3"/>
      <c r="N266" s="10"/>
      <c r="O266" s="5" t="s">
        <v>180</v>
      </c>
      <c r="P266" s="10"/>
      <c r="Q266" s="10"/>
      <c r="R266" s="10"/>
      <c r="S266" s="10"/>
      <c r="U266" s="10"/>
      <c r="V266" s="10"/>
      <c r="W266" s="10"/>
      <c r="X266" s="18">
        <f t="shared" ca="1" si="35"/>
        <v>0</v>
      </c>
      <c r="Y266" s="18">
        <f t="shared" ca="1" si="36"/>
        <v>0</v>
      </c>
      <c r="Z266" s="18">
        <f t="shared" ca="1" si="37"/>
        <v>0</v>
      </c>
      <c r="AA266" s="18">
        <f t="shared" ca="1" si="38"/>
        <v>0</v>
      </c>
      <c r="AB266" s="18">
        <f t="shared" ca="1" si="39"/>
        <v>0</v>
      </c>
      <c r="AC266" s="18">
        <f t="shared" ca="1" si="40"/>
        <v>0</v>
      </c>
      <c r="AD266" s="18">
        <f t="shared" ca="1" si="41"/>
        <v>0</v>
      </c>
      <c r="AE266" s="10"/>
    </row>
    <row r="267" spans="1:31" ht="72" customHeight="1">
      <c r="A267" s="38" t="s">
        <v>76</v>
      </c>
      <c r="B267" s="8" t="s">
        <v>123</v>
      </c>
      <c r="C267" s="16"/>
      <c r="D267" s="17"/>
      <c r="E267" s="2"/>
      <c r="F267" s="2"/>
      <c r="G267" s="2"/>
      <c r="H267" s="2"/>
      <c r="I267" s="2"/>
      <c r="J267" s="17"/>
      <c r="K267" s="1">
        <f t="shared" ref="K267:K321" si="42">SUM(D267:J267)</f>
        <v>0</v>
      </c>
      <c r="L267" s="8" t="s">
        <v>181</v>
      </c>
      <c r="M267" s="3"/>
      <c r="N267" s="10"/>
      <c r="O267" s="5" t="s">
        <v>180</v>
      </c>
      <c r="P267" s="10"/>
      <c r="Q267" s="10"/>
      <c r="R267" s="10"/>
      <c r="S267" s="10"/>
      <c r="U267" s="10"/>
      <c r="V267" s="10"/>
      <c r="W267" s="10"/>
      <c r="X267" s="18">
        <f t="shared" ca="1" si="35"/>
        <v>0</v>
      </c>
      <c r="Y267" s="18">
        <f t="shared" ca="1" si="36"/>
        <v>0</v>
      </c>
      <c r="Z267" s="18">
        <f t="shared" ca="1" si="37"/>
        <v>0</v>
      </c>
      <c r="AA267" s="18">
        <f t="shared" ca="1" si="38"/>
        <v>0</v>
      </c>
      <c r="AB267" s="18">
        <f t="shared" ca="1" si="39"/>
        <v>0</v>
      </c>
      <c r="AC267" s="18">
        <f t="shared" ca="1" si="40"/>
        <v>0</v>
      </c>
      <c r="AD267" s="18">
        <f t="shared" ca="1" si="41"/>
        <v>0</v>
      </c>
      <c r="AE267" s="10"/>
    </row>
    <row r="268" spans="1:31" ht="72" customHeight="1">
      <c r="A268" s="38" t="s">
        <v>76</v>
      </c>
      <c r="B268" s="8" t="s">
        <v>124</v>
      </c>
      <c r="C268" s="16"/>
      <c r="D268" s="17"/>
      <c r="E268" s="2"/>
      <c r="F268" s="2"/>
      <c r="G268" s="2"/>
      <c r="H268" s="2"/>
      <c r="I268" s="2"/>
      <c r="J268" s="17"/>
      <c r="K268" s="1">
        <f t="shared" si="42"/>
        <v>0</v>
      </c>
      <c r="L268" s="8" t="s">
        <v>181</v>
      </c>
      <c r="M268" s="3"/>
      <c r="N268" s="10"/>
      <c r="O268" s="5" t="s">
        <v>180</v>
      </c>
      <c r="P268" s="10"/>
      <c r="Q268" s="10"/>
      <c r="R268" s="10"/>
      <c r="S268" s="10"/>
      <c r="U268" s="10"/>
      <c r="V268" s="10"/>
      <c r="W268" s="10"/>
      <c r="X268" s="18">
        <f t="shared" ref="X268:X321" ca="1" si="43">LEN(IFERROR(_xlfn.FORMULATEXT(D268),""))-LEN(SUBSTITUTE(IFERROR(_xlfn.FORMULATEXT(D268),""),"=",""))+LEN(IFERROR(_xlfn.FORMULATEXT(D268),""))-LEN(SUBSTITUTE(IFERROR(_xlfn.FORMULATEXT(D268),""),"+",""))</f>
        <v>0</v>
      </c>
      <c r="Y268" s="18">
        <f t="shared" ref="Y268:Y321" ca="1" si="44">LEN(IFERROR(_xlfn.FORMULATEXT(E268),""))-LEN(SUBSTITUTE(IFERROR(_xlfn.FORMULATEXT(E268),""),"=",""))+LEN(IFERROR(_xlfn.FORMULATEXT(E268),""))-LEN(SUBSTITUTE(IFERROR(_xlfn.FORMULATEXT(E268),""),"+",""))</f>
        <v>0</v>
      </c>
      <c r="Z268" s="18">
        <f t="shared" ref="Z268:Z321" ca="1" si="45">LEN(IFERROR(_xlfn.FORMULATEXT(F268),""))-LEN(SUBSTITUTE(IFERROR(_xlfn.FORMULATEXT(F268),""),"=",""))+LEN(IFERROR(_xlfn.FORMULATEXT(F268),""))-LEN(SUBSTITUTE(IFERROR(_xlfn.FORMULATEXT(F268),""),"+",""))</f>
        <v>0</v>
      </c>
      <c r="AA268" s="18">
        <f t="shared" ref="AA268:AA321" ca="1" si="46">LEN(IFERROR(_xlfn.FORMULATEXT(G268),""))-LEN(SUBSTITUTE(IFERROR(_xlfn.FORMULATEXT(G268),""),"=",""))+LEN(IFERROR(_xlfn.FORMULATEXT(G268),""))-LEN(SUBSTITUTE(IFERROR(_xlfn.FORMULATEXT(G268),""),"+",""))</f>
        <v>0</v>
      </c>
      <c r="AB268" s="18">
        <f t="shared" ref="AB268:AB321" ca="1" si="47">LEN(IFERROR(_xlfn.FORMULATEXT(H268),""))-LEN(SUBSTITUTE(IFERROR(_xlfn.FORMULATEXT(H268),""),"=",""))+LEN(IFERROR(_xlfn.FORMULATEXT(H268),""))-LEN(SUBSTITUTE(IFERROR(_xlfn.FORMULATEXT(H268),""),"+",""))</f>
        <v>0</v>
      </c>
      <c r="AC268" s="18">
        <f t="shared" ref="AC268:AC321" ca="1" si="48">LEN(IFERROR(_xlfn.FORMULATEXT(I268),""))-LEN(SUBSTITUTE(IFERROR(_xlfn.FORMULATEXT(I268),""),"=",""))+LEN(IFERROR(_xlfn.FORMULATEXT(I268),""))-LEN(SUBSTITUTE(IFERROR(_xlfn.FORMULATEXT(I268),""),"+",""))</f>
        <v>0</v>
      </c>
      <c r="AD268" s="18">
        <f t="shared" ref="AD268:AD321" ca="1" si="49">LEN(IFERROR(_xlfn.FORMULATEXT(J268),""))-LEN(SUBSTITUTE(IFERROR(_xlfn.FORMULATEXT(J268),""),"=",""))+LEN(IFERROR(_xlfn.FORMULATEXT(J268),""))-LEN(SUBSTITUTE(IFERROR(_xlfn.FORMULATEXT(J268),""),"+",""))</f>
        <v>0</v>
      </c>
      <c r="AE268" s="10"/>
    </row>
    <row r="269" spans="1:31" ht="72" customHeight="1">
      <c r="A269" s="38" t="s">
        <v>76</v>
      </c>
      <c r="B269" s="8" t="s">
        <v>125</v>
      </c>
      <c r="C269" s="16"/>
      <c r="D269" s="17"/>
      <c r="E269" s="2"/>
      <c r="F269" s="2"/>
      <c r="G269" s="2"/>
      <c r="H269" s="2"/>
      <c r="I269" s="2"/>
      <c r="J269" s="17"/>
      <c r="K269" s="1">
        <f t="shared" si="42"/>
        <v>0</v>
      </c>
      <c r="L269" s="8" t="s">
        <v>181</v>
      </c>
      <c r="M269" s="3"/>
      <c r="N269" s="10"/>
      <c r="O269" s="5" t="s">
        <v>180</v>
      </c>
      <c r="P269" s="10"/>
      <c r="Q269" s="10"/>
      <c r="R269" s="10"/>
      <c r="S269" s="10"/>
      <c r="U269" s="10"/>
      <c r="V269" s="10"/>
      <c r="W269" s="10"/>
      <c r="X269" s="18">
        <f t="shared" ca="1" si="43"/>
        <v>0</v>
      </c>
      <c r="Y269" s="18">
        <f t="shared" ca="1" si="44"/>
        <v>0</v>
      </c>
      <c r="Z269" s="18">
        <f t="shared" ca="1" si="45"/>
        <v>0</v>
      </c>
      <c r="AA269" s="18">
        <f t="shared" ca="1" si="46"/>
        <v>0</v>
      </c>
      <c r="AB269" s="18">
        <f t="shared" ca="1" si="47"/>
        <v>0</v>
      </c>
      <c r="AC269" s="18">
        <f t="shared" ca="1" si="48"/>
        <v>0</v>
      </c>
      <c r="AD269" s="18">
        <f t="shared" ca="1" si="49"/>
        <v>0</v>
      </c>
      <c r="AE269" s="10"/>
    </row>
    <row r="270" spans="1:31" ht="72" customHeight="1">
      <c r="A270" s="38" t="s">
        <v>76</v>
      </c>
      <c r="B270" s="8" t="s">
        <v>126</v>
      </c>
      <c r="C270" s="16"/>
      <c r="D270" s="17"/>
      <c r="E270" s="2"/>
      <c r="F270" s="2"/>
      <c r="G270" s="2"/>
      <c r="H270" s="2"/>
      <c r="I270" s="2"/>
      <c r="J270" s="17"/>
      <c r="K270" s="1">
        <f t="shared" si="42"/>
        <v>0</v>
      </c>
      <c r="L270" s="8" t="s">
        <v>181</v>
      </c>
      <c r="M270" s="3"/>
      <c r="N270" s="10"/>
      <c r="O270" s="5" t="s">
        <v>180</v>
      </c>
      <c r="P270" s="10"/>
      <c r="Q270" s="10"/>
      <c r="R270" s="10"/>
      <c r="S270" s="10"/>
      <c r="U270" s="10"/>
      <c r="V270" s="10"/>
      <c r="W270" s="10"/>
      <c r="X270" s="18">
        <f t="shared" ca="1" si="43"/>
        <v>0</v>
      </c>
      <c r="Y270" s="18">
        <f t="shared" ca="1" si="44"/>
        <v>0</v>
      </c>
      <c r="Z270" s="18">
        <f t="shared" ca="1" si="45"/>
        <v>0</v>
      </c>
      <c r="AA270" s="18">
        <f t="shared" ca="1" si="46"/>
        <v>0</v>
      </c>
      <c r="AB270" s="18">
        <f t="shared" ca="1" si="47"/>
        <v>0</v>
      </c>
      <c r="AC270" s="18">
        <f t="shared" ca="1" si="48"/>
        <v>0</v>
      </c>
      <c r="AD270" s="18">
        <f t="shared" ca="1" si="49"/>
        <v>0</v>
      </c>
      <c r="AE270" s="10"/>
    </row>
    <row r="271" spans="1:31" ht="72" customHeight="1">
      <c r="A271" s="38" t="s">
        <v>76</v>
      </c>
      <c r="B271" s="8" t="s">
        <v>127</v>
      </c>
      <c r="C271" s="16"/>
      <c r="D271" s="17"/>
      <c r="E271" s="2"/>
      <c r="F271" s="2"/>
      <c r="G271" s="2"/>
      <c r="H271" s="2"/>
      <c r="I271" s="2"/>
      <c r="J271" s="17"/>
      <c r="K271" s="1">
        <f t="shared" si="42"/>
        <v>0</v>
      </c>
      <c r="L271" s="8" t="s">
        <v>181</v>
      </c>
      <c r="M271" s="3"/>
      <c r="N271" s="10"/>
      <c r="O271" s="5" t="s">
        <v>180</v>
      </c>
      <c r="P271" s="10"/>
      <c r="Q271" s="10"/>
      <c r="R271" s="10"/>
      <c r="S271" s="10"/>
      <c r="U271" s="10"/>
      <c r="V271" s="10"/>
      <c r="W271" s="10"/>
      <c r="X271" s="18">
        <f t="shared" ca="1" si="43"/>
        <v>0</v>
      </c>
      <c r="Y271" s="18">
        <f t="shared" ca="1" si="44"/>
        <v>0</v>
      </c>
      <c r="Z271" s="18">
        <f t="shared" ca="1" si="45"/>
        <v>0</v>
      </c>
      <c r="AA271" s="18">
        <f t="shared" ca="1" si="46"/>
        <v>0</v>
      </c>
      <c r="AB271" s="18">
        <f t="shared" ca="1" si="47"/>
        <v>0</v>
      </c>
      <c r="AC271" s="18">
        <f t="shared" ca="1" si="48"/>
        <v>0</v>
      </c>
      <c r="AD271" s="18">
        <f t="shared" ca="1" si="49"/>
        <v>0</v>
      </c>
      <c r="AE271" s="10"/>
    </row>
    <row r="272" spans="1:31" ht="72" customHeight="1">
      <c r="A272" s="38" t="s">
        <v>76</v>
      </c>
      <c r="B272" s="8" t="s">
        <v>128</v>
      </c>
      <c r="C272" s="16"/>
      <c r="D272" s="17"/>
      <c r="E272" s="2"/>
      <c r="F272" s="2"/>
      <c r="G272" s="2"/>
      <c r="H272" s="2"/>
      <c r="I272" s="2"/>
      <c r="J272" s="17"/>
      <c r="K272" s="1">
        <f t="shared" si="42"/>
        <v>0</v>
      </c>
      <c r="L272" s="8" t="s">
        <v>181</v>
      </c>
      <c r="M272" s="3"/>
      <c r="N272" s="10"/>
      <c r="O272" s="5" t="s">
        <v>180</v>
      </c>
      <c r="P272" s="10"/>
      <c r="Q272" s="10"/>
      <c r="R272" s="10"/>
      <c r="S272" s="10"/>
      <c r="U272" s="10"/>
      <c r="V272" s="10"/>
      <c r="W272" s="10"/>
      <c r="X272" s="18">
        <f t="shared" ca="1" si="43"/>
        <v>0</v>
      </c>
      <c r="Y272" s="18">
        <f t="shared" ca="1" si="44"/>
        <v>0</v>
      </c>
      <c r="Z272" s="18">
        <f t="shared" ca="1" si="45"/>
        <v>0</v>
      </c>
      <c r="AA272" s="18">
        <f t="shared" ca="1" si="46"/>
        <v>0</v>
      </c>
      <c r="AB272" s="18">
        <f t="shared" ca="1" si="47"/>
        <v>0</v>
      </c>
      <c r="AC272" s="18">
        <f t="shared" ca="1" si="48"/>
        <v>0</v>
      </c>
      <c r="AD272" s="18">
        <f t="shared" ca="1" si="49"/>
        <v>0</v>
      </c>
      <c r="AE272" s="10"/>
    </row>
    <row r="273" spans="1:31" ht="72" customHeight="1">
      <c r="A273" s="38" t="s">
        <v>76</v>
      </c>
      <c r="B273" s="8" t="s">
        <v>129</v>
      </c>
      <c r="C273" s="16"/>
      <c r="D273" s="17"/>
      <c r="E273" s="2"/>
      <c r="F273" s="2"/>
      <c r="G273" s="2"/>
      <c r="H273" s="2"/>
      <c r="I273" s="2"/>
      <c r="J273" s="17"/>
      <c r="K273" s="1">
        <f t="shared" si="42"/>
        <v>0</v>
      </c>
      <c r="L273" s="8" t="s">
        <v>181</v>
      </c>
      <c r="M273" s="3"/>
      <c r="N273" s="10"/>
      <c r="O273" s="5" t="s">
        <v>180</v>
      </c>
      <c r="P273" s="10"/>
      <c r="Q273" s="10"/>
      <c r="R273" s="10"/>
      <c r="S273" s="10"/>
      <c r="U273" s="10"/>
      <c r="V273" s="10"/>
      <c r="W273" s="10"/>
      <c r="X273" s="18">
        <f t="shared" ca="1" si="43"/>
        <v>0</v>
      </c>
      <c r="Y273" s="18">
        <f t="shared" ca="1" si="44"/>
        <v>0</v>
      </c>
      <c r="Z273" s="18">
        <f t="shared" ca="1" si="45"/>
        <v>0</v>
      </c>
      <c r="AA273" s="18">
        <f t="shared" ca="1" si="46"/>
        <v>0</v>
      </c>
      <c r="AB273" s="18">
        <f t="shared" ca="1" si="47"/>
        <v>0</v>
      </c>
      <c r="AC273" s="18">
        <f t="shared" ca="1" si="48"/>
        <v>0</v>
      </c>
      <c r="AD273" s="18">
        <f t="shared" ca="1" si="49"/>
        <v>0</v>
      </c>
      <c r="AE273" s="10"/>
    </row>
    <row r="274" spans="1:31" ht="72" customHeight="1">
      <c r="A274" s="38" t="s">
        <v>76</v>
      </c>
      <c r="B274" s="8" t="s">
        <v>130</v>
      </c>
      <c r="C274" s="16"/>
      <c r="D274" s="17"/>
      <c r="E274" s="2"/>
      <c r="F274" s="2"/>
      <c r="G274" s="2"/>
      <c r="H274" s="2"/>
      <c r="I274" s="2"/>
      <c r="J274" s="17"/>
      <c r="K274" s="1">
        <f t="shared" si="42"/>
        <v>0</v>
      </c>
      <c r="L274" s="8" t="s">
        <v>181</v>
      </c>
      <c r="M274" s="3"/>
      <c r="N274" s="10"/>
      <c r="O274" s="5" t="s">
        <v>180</v>
      </c>
      <c r="P274" s="10"/>
      <c r="Q274" s="10"/>
      <c r="R274" s="10"/>
      <c r="S274" s="10"/>
      <c r="U274" s="10"/>
      <c r="V274" s="10"/>
      <c r="W274" s="10"/>
      <c r="X274" s="18">
        <f t="shared" ca="1" si="43"/>
        <v>0</v>
      </c>
      <c r="Y274" s="18">
        <f t="shared" ca="1" si="44"/>
        <v>0</v>
      </c>
      <c r="Z274" s="18">
        <f t="shared" ca="1" si="45"/>
        <v>0</v>
      </c>
      <c r="AA274" s="18">
        <f t="shared" ca="1" si="46"/>
        <v>0</v>
      </c>
      <c r="AB274" s="18">
        <f t="shared" ca="1" si="47"/>
        <v>0</v>
      </c>
      <c r="AC274" s="18">
        <f t="shared" ca="1" si="48"/>
        <v>0</v>
      </c>
      <c r="AD274" s="18">
        <f t="shared" ca="1" si="49"/>
        <v>0</v>
      </c>
      <c r="AE274" s="10"/>
    </row>
    <row r="275" spans="1:31" ht="72" customHeight="1">
      <c r="A275" s="38" t="s">
        <v>76</v>
      </c>
      <c r="B275" s="8" t="s">
        <v>131</v>
      </c>
      <c r="C275" s="16"/>
      <c r="D275" s="17"/>
      <c r="E275" s="2"/>
      <c r="F275" s="2"/>
      <c r="G275" s="2"/>
      <c r="H275" s="2"/>
      <c r="I275" s="2"/>
      <c r="J275" s="17"/>
      <c r="K275" s="1">
        <f t="shared" si="42"/>
        <v>0</v>
      </c>
      <c r="L275" s="8" t="s">
        <v>181</v>
      </c>
      <c r="M275" s="3"/>
      <c r="N275" s="10"/>
      <c r="O275" s="5" t="s">
        <v>180</v>
      </c>
      <c r="P275" s="10"/>
      <c r="Q275" s="10"/>
      <c r="R275" s="10"/>
      <c r="S275" s="10"/>
      <c r="U275" s="10"/>
      <c r="V275" s="10"/>
      <c r="W275" s="10"/>
      <c r="X275" s="18">
        <f t="shared" ca="1" si="43"/>
        <v>0</v>
      </c>
      <c r="Y275" s="18">
        <f t="shared" ca="1" si="44"/>
        <v>0</v>
      </c>
      <c r="Z275" s="18">
        <f t="shared" ca="1" si="45"/>
        <v>0</v>
      </c>
      <c r="AA275" s="18">
        <f t="shared" ca="1" si="46"/>
        <v>0</v>
      </c>
      <c r="AB275" s="18">
        <f t="shared" ca="1" si="47"/>
        <v>0</v>
      </c>
      <c r="AC275" s="18">
        <f t="shared" ca="1" si="48"/>
        <v>0</v>
      </c>
      <c r="AD275" s="18">
        <f t="shared" ca="1" si="49"/>
        <v>0</v>
      </c>
      <c r="AE275" s="10"/>
    </row>
    <row r="276" spans="1:31" ht="72" customHeight="1">
      <c r="A276" s="38" t="s">
        <v>76</v>
      </c>
      <c r="B276" s="8" t="s">
        <v>132</v>
      </c>
      <c r="C276" s="16"/>
      <c r="D276" s="17"/>
      <c r="E276" s="2"/>
      <c r="F276" s="2"/>
      <c r="G276" s="2"/>
      <c r="H276" s="2"/>
      <c r="I276" s="2"/>
      <c r="J276" s="17"/>
      <c r="K276" s="1">
        <f t="shared" si="42"/>
        <v>0</v>
      </c>
      <c r="L276" s="8" t="s">
        <v>181</v>
      </c>
      <c r="M276" s="3"/>
      <c r="N276" s="10"/>
      <c r="O276" s="5" t="s">
        <v>180</v>
      </c>
      <c r="P276" s="10"/>
      <c r="Q276" s="10"/>
      <c r="R276" s="10"/>
      <c r="S276" s="10"/>
      <c r="U276" s="10"/>
      <c r="V276" s="10"/>
      <c r="W276" s="10"/>
      <c r="X276" s="18">
        <f t="shared" ca="1" si="43"/>
        <v>0</v>
      </c>
      <c r="Y276" s="18">
        <f t="shared" ca="1" si="44"/>
        <v>0</v>
      </c>
      <c r="Z276" s="18">
        <f t="shared" ca="1" si="45"/>
        <v>0</v>
      </c>
      <c r="AA276" s="18">
        <f t="shared" ca="1" si="46"/>
        <v>0</v>
      </c>
      <c r="AB276" s="18">
        <f t="shared" ca="1" si="47"/>
        <v>0</v>
      </c>
      <c r="AC276" s="18">
        <f t="shared" ca="1" si="48"/>
        <v>0</v>
      </c>
      <c r="AD276" s="18">
        <f t="shared" ca="1" si="49"/>
        <v>0</v>
      </c>
      <c r="AE276" s="10"/>
    </row>
    <row r="277" spans="1:31" ht="72" customHeight="1">
      <c r="A277" s="38" t="s">
        <v>76</v>
      </c>
      <c r="B277" s="8" t="s">
        <v>133</v>
      </c>
      <c r="C277" s="16"/>
      <c r="D277" s="17"/>
      <c r="E277" s="2"/>
      <c r="F277" s="2"/>
      <c r="G277" s="2"/>
      <c r="H277" s="2"/>
      <c r="I277" s="2"/>
      <c r="J277" s="17"/>
      <c r="K277" s="1">
        <f t="shared" si="42"/>
        <v>0</v>
      </c>
      <c r="L277" s="8" t="s">
        <v>181</v>
      </c>
      <c r="M277" s="3"/>
      <c r="N277" s="10"/>
      <c r="O277" s="5" t="s">
        <v>180</v>
      </c>
      <c r="P277" s="10"/>
      <c r="Q277" s="10"/>
      <c r="R277" s="10"/>
      <c r="S277" s="10"/>
      <c r="U277" s="10"/>
      <c r="V277" s="10"/>
      <c r="W277" s="10"/>
      <c r="X277" s="18">
        <f t="shared" ca="1" si="43"/>
        <v>0</v>
      </c>
      <c r="Y277" s="18">
        <f t="shared" ca="1" si="44"/>
        <v>0</v>
      </c>
      <c r="Z277" s="18">
        <f t="shared" ca="1" si="45"/>
        <v>0</v>
      </c>
      <c r="AA277" s="18">
        <f t="shared" ca="1" si="46"/>
        <v>0</v>
      </c>
      <c r="AB277" s="18">
        <f t="shared" ca="1" si="47"/>
        <v>0</v>
      </c>
      <c r="AC277" s="18">
        <f t="shared" ca="1" si="48"/>
        <v>0</v>
      </c>
      <c r="AD277" s="18">
        <f t="shared" ca="1" si="49"/>
        <v>0</v>
      </c>
      <c r="AE277" s="10"/>
    </row>
    <row r="278" spans="1:31" ht="72" customHeight="1">
      <c r="A278" s="38" t="s">
        <v>76</v>
      </c>
      <c r="B278" s="8" t="s">
        <v>134</v>
      </c>
      <c r="C278" s="16"/>
      <c r="D278" s="17"/>
      <c r="E278" s="2"/>
      <c r="F278" s="2"/>
      <c r="G278" s="2"/>
      <c r="H278" s="2"/>
      <c r="I278" s="2"/>
      <c r="J278" s="17"/>
      <c r="K278" s="1">
        <f t="shared" si="42"/>
        <v>0</v>
      </c>
      <c r="L278" s="8" t="s">
        <v>181</v>
      </c>
      <c r="M278" s="3"/>
      <c r="N278" s="10"/>
      <c r="O278" s="5" t="s">
        <v>180</v>
      </c>
      <c r="P278" s="10"/>
      <c r="Q278" s="10"/>
      <c r="R278" s="10"/>
      <c r="S278" s="10"/>
      <c r="U278" s="10"/>
      <c r="V278" s="10"/>
      <c r="W278" s="10"/>
      <c r="X278" s="18">
        <f t="shared" ca="1" si="43"/>
        <v>0</v>
      </c>
      <c r="Y278" s="18">
        <f t="shared" ca="1" si="44"/>
        <v>0</v>
      </c>
      <c r="Z278" s="18">
        <f t="shared" ca="1" si="45"/>
        <v>0</v>
      </c>
      <c r="AA278" s="18">
        <f t="shared" ca="1" si="46"/>
        <v>0</v>
      </c>
      <c r="AB278" s="18">
        <f t="shared" ca="1" si="47"/>
        <v>0</v>
      </c>
      <c r="AC278" s="18">
        <f t="shared" ca="1" si="48"/>
        <v>0</v>
      </c>
      <c r="AD278" s="18">
        <f t="shared" ca="1" si="49"/>
        <v>0</v>
      </c>
      <c r="AE278" s="10"/>
    </row>
    <row r="279" spans="1:31" ht="72" customHeight="1">
      <c r="A279" s="38" t="s">
        <v>76</v>
      </c>
      <c r="B279" s="8" t="s">
        <v>135</v>
      </c>
      <c r="C279" s="16"/>
      <c r="D279" s="17"/>
      <c r="E279" s="2"/>
      <c r="F279" s="2"/>
      <c r="G279" s="2"/>
      <c r="H279" s="2"/>
      <c r="I279" s="2"/>
      <c r="J279" s="17"/>
      <c r="K279" s="1">
        <f t="shared" si="42"/>
        <v>0</v>
      </c>
      <c r="L279" s="8" t="s">
        <v>181</v>
      </c>
      <c r="M279" s="3"/>
      <c r="N279" s="10"/>
      <c r="O279" s="5" t="s">
        <v>180</v>
      </c>
      <c r="P279" s="10"/>
      <c r="Q279" s="10"/>
      <c r="R279" s="10"/>
      <c r="S279" s="10"/>
      <c r="U279" s="10"/>
      <c r="V279" s="10"/>
      <c r="W279" s="10"/>
      <c r="X279" s="18">
        <f t="shared" ca="1" si="43"/>
        <v>0</v>
      </c>
      <c r="Y279" s="18">
        <f t="shared" ca="1" si="44"/>
        <v>0</v>
      </c>
      <c r="Z279" s="18">
        <f t="shared" ca="1" si="45"/>
        <v>0</v>
      </c>
      <c r="AA279" s="18">
        <f t="shared" ca="1" si="46"/>
        <v>0</v>
      </c>
      <c r="AB279" s="18">
        <f t="shared" ca="1" si="47"/>
        <v>0</v>
      </c>
      <c r="AC279" s="18">
        <f t="shared" ca="1" si="48"/>
        <v>0</v>
      </c>
      <c r="AD279" s="18">
        <f t="shared" ca="1" si="49"/>
        <v>0</v>
      </c>
      <c r="AE279" s="10"/>
    </row>
    <row r="280" spans="1:31" ht="72" customHeight="1">
      <c r="A280" s="38" t="s">
        <v>76</v>
      </c>
      <c r="B280" s="8" t="s">
        <v>136</v>
      </c>
      <c r="C280" s="16"/>
      <c r="D280" s="17"/>
      <c r="E280" s="2"/>
      <c r="F280" s="2"/>
      <c r="G280" s="2"/>
      <c r="H280" s="2"/>
      <c r="I280" s="2"/>
      <c r="J280" s="17"/>
      <c r="K280" s="1">
        <f t="shared" si="42"/>
        <v>0</v>
      </c>
      <c r="L280" s="8" t="s">
        <v>181</v>
      </c>
      <c r="M280" s="3"/>
      <c r="N280" s="10"/>
      <c r="O280" s="5" t="s">
        <v>180</v>
      </c>
      <c r="P280" s="10"/>
      <c r="Q280" s="10"/>
      <c r="R280" s="10"/>
      <c r="S280" s="10"/>
      <c r="U280" s="10"/>
      <c r="V280" s="10"/>
      <c r="W280" s="10"/>
      <c r="X280" s="18">
        <f t="shared" ca="1" si="43"/>
        <v>0</v>
      </c>
      <c r="Y280" s="18">
        <f t="shared" ca="1" si="44"/>
        <v>0</v>
      </c>
      <c r="Z280" s="18">
        <f t="shared" ca="1" si="45"/>
        <v>0</v>
      </c>
      <c r="AA280" s="18">
        <f t="shared" ca="1" si="46"/>
        <v>0</v>
      </c>
      <c r="AB280" s="18">
        <f t="shared" ca="1" si="47"/>
        <v>0</v>
      </c>
      <c r="AC280" s="18">
        <f t="shared" ca="1" si="48"/>
        <v>0</v>
      </c>
      <c r="AD280" s="18">
        <f t="shared" ca="1" si="49"/>
        <v>0</v>
      </c>
      <c r="AE280" s="10"/>
    </row>
    <row r="281" spans="1:31" ht="72" customHeight="1">
      <c r="A281" s="38" t="s">
        <v>76</v>
      </c>
      <c r="B281" s="8" t="s">
        <v>137</v>
      </c>
      <c r="C281" s="16"/>
      <c r="D281" s="17"/>
      <c r="E281" s="2"/>
      <c r="F281" s="2"/>
      <c r="G281" s="2"/>
      <c r="H281" s="2"/>
      <c r="I281" s="2"/>
      <c r="J281" s="17"/>
      <c r="K281" s="1">
        <f t="shared" si="42"/>
        <v>0</v>
      </c>
      <c r="L281" s="8" t="s">
        <v>181</v>
      </c>
      <c r="M281" s="3"/>
      <c r="N281" s="10"/>
      <c r="O281" s="5" t="s">
        <v>180</v>
      </c>
      <c r="P281" s="10"/>
      <c r="Q281" s="10"/>
      <c r="R281" s="10"/>
      <c r="S281" s="10"/>
      <c r="U281" s="10"/>
      <c r="V281" s="10"/>
      <c r="W281" s="10"/>
      <c r="X281" s="18">
        <f t="shared" ca="1" si="43"/>
        <v>0</v>
      </c>
      <c r="Y281" s="18">
        <f t="shared" ca="1" si="44"/>
        <v>0</v>
      </c>
      <c r="Z281" s="18">
        <f t="shared" ca="1" si="45"/>
        <v>0</v>
      </c>
      <c r="AA281" s="18">
        <f t="shared" ca="1" si="46"/>
        <v>0</v>
      </c>
      <c r="AB281" s="18">
        <f t="shared" ca="1" si="47"/>
        <v>0</v>
      </c>
      <c r="AC281" s="18">
        <f t="shared" ca="1" si="48"/>
        <v>0</v>
      </c>
      <c r="AD281" s="18">
        <f t="shared" ca="1" si="49"/>
        <v>0</v>
      </c>
      <c r="AE281" s="10"/>
    </row>
    <row r="282" spans="1:31" ht="72" customHeight="1">
      <c r="A282" s="38" t="s">
        <v>76</v>
      </c>
      <c r="B282" s="8" t="s">
        <v>138</v>
      </c>
      <c r="C282" s="16"/>
      <c r="D282" s="17"/>
      <c r="E282" s="2"/>
      <c r="F282" s="2"/>
      <c r="G282" s="2"/>
      <c r="H282" s="2"/>
      <c r="I282" s="2"/>
      <c r="J282" s="17"/>
      <c r="K282" s="1">
        <f t="shared" si="42"/>
        <v>0</v>
      </c>
      <c r="L282" s="8" t="s">
        <v>181</v>
      </c>
      <c r="M282" s="3"/>
      <c r="N282" s="10"/>
      <c r="O282" s="5" t="s">
        <v>180</v>
      </c>
      <c r="P282" s="10"/>
      <c r="Q282" s="10"/>
      <c r="R282" s="10"/>
      <c r="S282" s="10"/>
      <c r="U282" s="10"/>
      <c r="V282" s="10"/>
      <c r="W282" s="10"/>
      <c r="X282" s="18">
        <f t="shared" ca="1" si="43"/>
        <v>0</v>
      </c>
      <c r="Y282" s="18">
        <f t="shared" ca="1" si="44"/>
        <v>0</v>
      </c>
      <c r="Z282" s="18">
        <f t="shared" ca="1" si="45"/>
        <v>0</v>
      </c>
      <c r="AA282" s="18">
        <f t="shared" ca="1" si="46"/>
        <v>0</v>
      </c>
      <c r="AB282" s="18">
        <f t="shared" ca="1" si="47"/>
        <v>0</v>
      </c>
      <c r="AC282" s="18">
        <f t="shared" ca="1" si="48"/>
        <v>0</v>
      </c>
      <c r="AD282" s="18">
        <f t="shared" ca="1" si="49"/>
        <v>0</v>
      </c>
      <c r="AE282" s="10"/>
    </row>
    <row r="283" spans="1:31" ht="72" customHeight="1">
      <c r="A283" s="38" t="s">
        <v>76</v>
      </c>
      <c r="B283" s="8" t="s">
        <v>139</v>
      </c>
      <c r="C283" s="16"/>
      <c r="D283" s="17"/>
      <c r="E283" s="2"/>
      <c r="F283" s="2"/>
      <c r="G283" s="2"/>
      <c r="H283" s="2"/>
      <c r="I283" s="2"/>
      <c r="J283" s="17"/>
      <c r="K283" s="1">
        <f t="shared" si="42"/>
        <v>0</v>
      </c>
      <c r="L283" s="8" t="s">
        <v>181</v>
      </c>
      <c r="M283" s="3"/>
      <c r="N283" s="10"/>
      <c r="O283" s="5" t="s">
        <v>180</v>
      </c>
      <c r="P283" s="10"/>
      <c r="Q283" s="10"/>
      <c r="R283" s="10"/>
      <c r="S283" s="10"/>
      <c r="U283" s="10"/>
      <c r="V283" s="10"/>
      <c r="W283" s="10"/>
      <c r="X283" s="18">
        <f t="shared" ca="1" si="43"/>
        <v>0</v>
      </c>
      <c r="Y283" s="18">
        <f t="shared" ca="1" si="44"/>
        <v>0</v>
      </c>
      <c r="Z283" s="18">
        <f t="shared" ca="1" si="45"/>
        <v>0</v>
      </c>
      <c r="AA283" s="18">
        <f t="shared" ca="1" si="46"/>
        <v>0</v>
      </c>
      <c r="AB283" s="18">
        <f t="shared" ca="1" si="47"/>
        <v>0</v>
      </c>
      <c r="AC283" s="18">
        <f t="shared" ca="1" si="48"/>
        <v>0</v>
      </c>
      <c r="AD283" s="18">
        <f t="shared" ca="1" si="49"/>
        <v>0</v>
      </c>
      <c r="AE283" s="10"/>
    </row>
    <row r="284" spans="1:31" ht="72" customHeight="1">
      <c r="A284" s="38" t="s">
        <v>76</v>
      </c>
      <c r="B284" s="8" t="s">
        <v>140</v>
      </c>
      <c r="C284" s="16"/>
      <c r="D284" s="17"/>
      <c r="E284" s="2"/>
      <c r="F284" s="2"/>
      <c r="G284" s="2"/>
      <c r="H284" s="2"/>
      <c r="I284" s="2"/>
      <c r="J284" s="17"/>
      <c r="K284" s="1">
        <f t="shared" si="42"/>
        <v>0</v>
      </c>
      <c r="L284" s="8" t="s">
        <v>181</v>
      </c>
      <c r="M284" s="3"/>
      <c r="N284" s="10"/>
      <c r="O284" s="5" t="s">
        <v>180</v>
      </c>
      <c r="P284" s="10"/>
      <c r="Q284" s="10"/>
      <c r="R284" s="10"/>
      <c r="S284" s="10"/>
      <c r="U284" s="10"/>
      <c r="V284" s="10"/>
      <c r="W284" s="10"/>
      <c r="X284" s="18">
        <f t="shared" ca="1" si="43"/>
        <v>0</v>
      </c>
      <c r="Y284" s="18">
        <f t="shared" ca="1" si="44"/>
        <v>0</v>
      </c>
      <c r="Z284" s="18">
        <f t="shared" ca="1" si="45"/>
        <v>0</v>
      </c>
      <c r="AA284" s="18">
        <f t="shared" ca="1" si="46"/>
        <v>0</v>
      </c>
      <c r="AB284" s="18">
        <f t="shared" ca="1" si="47"/>
        <v>0</v>
      </c>
      <c r="AC284" s="18">
        <f t="shared" ca="1" si="48"/>
        <v>0</v>
      </c>
      <c r="AD284" s="18">
        <f t="shared" ca="1" si="49"/>
        <v>0</v>
      </c>
      <c r="AE284" s="10"/>
    </row>
    <row r="285" spans="1:31" ht="72" customHeight="1">
      <c r="A285" s="38" t="s">
        <v>76</v>
      </c>
      <c r="B285" s="8" t="s">
        <v>178</v>
      </c>
      <c r="C285" s="16"/>
      <c r="D285" s="17"/>
      <c r="E285" s="2"/>
      <c r="F285" s="2"/>
      <c r="G285" s="2"/>
      <c r="H285" s="2"/>
      <c r="I285" s="2"/>
      <c r="J285" s="17"/>
      <c r="K285" s="1">
        <f t="shared" si="42"/>
        <v>0</v>
      </c>
      <c r="L285" s="8" t="s">
        <v>181</v>
      </c>
      <c r="M285" s="3"/>
      <c r="N285" s="10"/>
      <c r="O285" s="5" t="s">
        <v>180</v>
      </c>
      <c r="P285" s="10"/>
      <c r="Q285" s="10"/>
      <c r="R285" s="10"/>
      <c r="S285" s="10"/>
      <c r="U285" s="10"/>
      <c r="V285" s="10"/>
      <c r="W285" s="10"/>
      <c r="X285" s="18">
        <f t="shared" ca="1" si="43"/>
        <v>0</v>
      </c>
      <c r="Y285" s="18">
        <f t="shared" ca="1" si="44"/>
        <v>0</v>
      </c>
      <c r="Z285" s="18">
        <f t="shared" ca="1" si="45"/>
        <v>0</v>
      </c>
      <c r="AA285" s="18">
        <f t="shared" ca="1" si="46"/>
        <v>0</v>
      </c>
      <c r="AB285" s="18">
        <f t="shared" ca="1" si="47"/>
        <v>0</v>
      </c>
      <c r="AC285" s="18">
        <f t="shared" ca="1" si="48"/>
        <v>0</v>
      </c>
      <c r="AD285" s="18">
        <f t="shared" ca="1" si="49"/>
        <v>0</v>
      </c>
      <c r="AE285" s="10"/>
    </row>
    <row r="286" spans="1:31" ht="72" customHeight="1">
      <c r="A286" s="43" t="s">
        <v>60</v>
      </c>
      <c r="B286" s="8" t="s">
        <v>65</v>
      </c>
      <c r="C286" s="16"/>
      <c r="D286" s="17"/>
      <c r="E286" s="2"/>
      <c r="F286" s="2"/>
      <c r="G286" s="2"/>
      <c r="H286" s="2"/>
      <c r="I286" s="2"/>
      <c r="J286" s="17"/>
      <c r="K286" s="1">
        <f t="shared" si="42"/>
        <v>0</v>
      </c>
      <c r="L286" s="8" t="s">
        <v>181</v>
      </c>
      <c r="M286" s="3"/>
      <c r="N286" s="10"/>
      <c r="O286" s="5" t="s">
        <v>181</v>
      </c>
      <c r="P286" s="10"/>
      <c r="Q286" s="10"/>
      <c r="R286" s="10"/>
      <c r="S286" s="10"/>
      <c r="U286" s="10"/>
      <c r="V286" s="10"/>
      <c r="W286" s="10"/>
      <c r="X286" s="18">
        <f t="shared" ca="1" si="43"/>
        <v>0</v>
      </c>
      <c r="Y286" s="18">
        <f t="shared" ca="1" si="44"/>
        <v>0</v>
      </c>
      <c r="Z286" s="18">
        <f t="shared" ca="1" si="45"/>
        <v>0</v>
      </c>
      <c r="AA286" s="18">
        <f t="shared" ca="1" si="46"/>
        <v>0</v>
      </c>
      <c r="AB286" s="18">
        <f t="shared" ca="1" si="47"/>
        <v>0</v>
      </c>
      <c r="AC286" s="18">
        <f t="shared" ca="1" si="48"/>
        <v>0</v>
      </c>
      <c r="AD286" s="18">
        <f t="shared" ca="1" si="49"/>
        <v>0</v>
      </c>
      <c r="AE286" s="10"/>
    </row>
    <row r="287" spans="1:31" ht="72" customHeight="1">
      <c r="A287" s="38" t="s">
        <v>61</v>
      </c>
      <c r="B287" s="8" t="s">
        <v>66</v>
      </c>
      <c r="C287" s="16"/>
      <c r="D287" s="17"/>
      <c r="E287" s="2"/>
      <c r="F287" s="2"/>
      <c r="G287" s="2"/>
      <c r="H287" s="2"/>
      <c r="I287" s="2"/>
      <c r="J287" s="17"/>
      <c r="K287" s="1">
        <f t="shared" si="42"/>
        <v>0</v>
      </c>
      <c r="L287" s="8" t="s">
        <v>181</v>
      </c>
      <c r="M287" s="3"/>
      <c r="N287" s="10"/>
      <c r="O287" s="5" t="s">
        <v>180</v>
      </c>
      <c r="P287" s="10"/>
      <c r="Q287" s="10"/>
      <c r="R287" s="10"/>
      <c r="S287" s="10"/>
      <c r="U287" s="10"/>
      <c r="V287" s="10"/>
      <c r="W287" s="10"/>
      <c r="X287" s="18">
        <f t="shared" ca="1" si="43"/>
        <v>0</v>
      </c>
      <c r="Y287" s="18">
        <f t="shared" ca="1" si="44"/>
        <v>0</v>
      </c>
      <c r="Z287" s="18">
        <f t="shared" ca="1" si="45"/>
        <v>0</v>
      </c>
      <c r="AA287" s="18">
        <f t="shared" ca="1" si="46"/>
        <v>0</v>
      </c>
      <c r="AB287" s="18">
        <f t="shared" ca="1" si="47"/>
        <v>0</v>
      </c>
      <c r="AC287" s="18">
        <f t="shared" ca="1" si="48"/>
        <v>0</v>
      </c>
      <c r="AD287" s="18">
        <f t="shared" ca="1" si="49"/>
        <v>0</v>
      </c>
      <c r="AE287" s="10"/>
    </row>
    <row r="288" spans="1:31" ht="72" customHeight="1">
      <c r="A288" s="43" t="s">
        <v>62</v>
      </c>
      <c r="B288" s="8" t="s">
        <v>69</v>
      </c>
      <c r="C288" s="16"/>
      <c r="D288" s="17"/>
      <c r="E288" s="2"/>
      <c r="F288" s="2"/>
      <c r="G288" s="2"/>
      <c r="H288" s="2"/>
      <c r="I288" s="2"/>
      <c r="J288" s="17"/>
      <c r="K288" s="1">
        <f t="shared" si="42"/>
        <v>0</v>
      </c>
      <c r="L288" s="8" t="s">
        <v>181</v>
      </c>
      <c r="M288" s="3"/>
      <c r="N288" s="10"/>
      <c r="O288" s="5" t="s">
        <v>180</v>
      </c>
      <c r="P288" s="10"/>
      <c r="Q288" s="10"/>
      <c r="R288" s="10"/>
      <c r="S288" s="10"/>
      <c r="U288" s="10"/>
      <c r="V288" s="10"/>
      <c r="W288" s="10"/>
      <c r="X288" s="18">
        <f t="shared" ca="1" si="43"/>
        <v>0</v>
      </c>
      <c r="Y288" s="18">
        <f t="shared" ca="1" si="44"/>
        <v>0</v>
      </c>
      <c r="Z288" s="18">
        <f t="shared" ca="1" si="45"/>
        <v>0</v>
      </c>
      <c r="AA288" s="18">
        <f t="shared" ca="1" si="46"/>
        <v>0</v>
      </c>
      <c r="AB288" s="18">
        <f t="shared" ca="1" si="47"/>
        <v>0</v>
      </c>
      <c r="AC288" s="18">
        <f t="shared" ca="1" si="48"/>
        <v>0</v>
      </c>
      <c r="AD288" s="18">
        <f t="shared" ca="1" si="49"/>
        <v>0</v>
      </c>
      <c r="AE288" s="10"/>
    </row>
    <row r="289" spans="1:31" ht="72" customHeight="1">
      <c r="A289" s="38" t="s">
        <v>62</v>
      </c>
      <c r="B289" s="8" t="s">
        <v>70</v>
      </c>
      <c r="C289" s="16"/>
      <c r="D289" s="17"/>
      <c r="E289" s="2"/>
      <c r="F289" s="2"/>
      <c r="G289" s="2"/>
      <c r="H289" s="2"/>
      <c r="I289" s="2"/>
      <c r="J289" s="17"/>
      <c r="K289" s="1">
        <f t="shared" si="42"/>
        <v>0</v>
      </c>
      <c r="L289" s="8" t="s">
        <v>181</v>
      </c>
      <c r="M289" s="3"/>
      <c r="N289" s="10"/>
      <c r="O289" s="5" t="s">
        <v>180</v>
      </c>
      <c r="P289" s="10"/>
      <c r="Q289" s="10"/>
      <c r="R289" s="10"/>
      <c r="S289" s="10"/>
      <c r="U289" s="10"/>
      <c r="V289" s="10"/>
      <c r="W289" s="10"/>
      <c r="X289" s="18">
        <f t="shared" ca="1" si="43"/>
        <v>0</v>
      </c>
      <c r="Y289" s="18">
        <f t="shared" ca="1" si="44"/>
        <v>0</v>
      </c>
      <c r="Z289" s="18">
        <f t="shared" ca="1" si="45"/>
        <v>0</v>
      </c>
      <c r="AA289" s="18">
        <f t="shared" ca="1" si="46"/>
        <v>0</v>
      </c>
      <c r="AB289" s="18">
        <f t="shared" ca="1" si="47"/>
        <v>0</v>
      </c>
      <c r="AC289" s="18">
        <f t="shared" ca="1" si="48"/>
        <v>0</v>
      </c>
      <c r="AD289" s="18">
        <f t="shared" ca="1" si="49"/>
        <v>0</v>
      </c>
      <c r="AE289" s="10"/>
    </row>
    <row r="290" spans="1:31" ht="72" customHeight="1">
      <c r="A290" s="38" t="s">
        <v>62</v>
      </c>
      <c r="B290" s="8" t="s">
        <v>71</v>
      </c>
      <c r="C290" s="16"/>
      <c r="D290" s="17"/>
      <c r="E290" s="2"/>
      <c r="F290" s="2"/>
      <c r="G290" s="2"/>
      <c r="H290" s="2"/>
      <c r="I290" s="2"/>
      <c r="J290" s="17"/>
      <c r="K290" s="1">
        <f t="shared" si="42"/>
        <v>0</v>
      </c>
      <c r="L290" s="8" t="s">
        <v>181</v>
      </c>
      <c r="M290" s="3"/>
      <c r="N290" s="10"/>
      <c r="O290" s="5" t="s">
        <v>180</v>
      </c>
      <c r="P290" s="10"/>
      <c r="Q290" s="10"/>
      <c r="R290" s="10"/>
      <c r="S290" s="10"/>
      <c r="U290" s="10"/>
      <c r="V290" s="10"/>
      <c r="W290" s="10"/>
      <c r="X290" s="18">
        <f t="shared" ca="1" si="43"/>
        <v>0</v>
      </c>
      <c r="Y290" s="18">
        <f t="shared" ca="1" si="44"/>
        <v>0</v>
      </c>
      <c r="Z290" s="18">
        <f t="shared" ca="1" si="45"/>
        <v>0</v>
      </c>
      <c r="AA290" s="18">
        <f t="shared" ca="1" si="46"/>
        <v>0</v>
      </c>
      <c r="AB290" s="18">
        <f t="shared" ca="1" si="47"/>
        <v>0</v>
      </c>
      <c r="AC290" s="18">
        <f t="shared" ca="1" si="48"/>
        <v>0</v>
      </c>
      <c r="AD290" s="18">
        <f t="shared" ca="1" si="49"/>
        <v>0</v>
      </c>
      <c r="AE290" s="10"/>
    </row>
    <row r="291" spans="1:31" ht="72" customHeight="1">
      <c r="A291" s="38" t="s">
        <v>62</v>
      </c>
      <c r="B291" s="8" t="s">
        <v>72</v>
      </c>
      <c r="C291" s="16"/>
      <c r="D291" s="17"/>
      <c r="E291" s="2"/>
      <c r="F291" s="2"/>
      <c r="G291" s="2"/>
      <c r="H291" s="2"/>
      <c r="I291" s="2"/>
      <c r="J291" s="17"/>
      <c r="K291" s="1">
        <f t="shared" si="42"/>
        <v>0</v>
      </c>
      <c r="L291" s="8" t="s">
        <v>181</v>
      </c>
      <c r="M291" s="3"/>
      <c r="N291" s="10"/>
      <c r="O291" s="5" t="s">
        <v>180</v>
      </c>
      <c r="P291" s="10"/>
      <c r="Q291" s="10"/>
      <c r="R291" s="10"/>
      <c r="S291" s="10"/>
      <c r="U291" s="10"/>
      <c r="V291" s="10"/>
      <c r="W291" s="10"/>
      <c r="X291" s="18">
        <f t="shared" ca="1" si="43"/>
        <v>0</v>
      </c>
      <c r="Y291" s="18">
        <f t="shared" ca="1" si="44"/>
        <v>0</v>
      </c>
      <c r="Z291" s="18">
        <f t="shared" ca="1" si="45"/>
        <v>0</v>
      </c>
      <c r="AA291" s="18">
        <f t="shared" ca="1" si="46"/>
        <v>0</v>
      </c>
      <c r="AB291" s="18">
        <f t="shared" ca="1" si="47"/>
        <v>0</v>
      </c>
      <c r="AC291" s="18">
        <f t="shared" ca="1" si="48"/>
        <v>0</v>
      </c>
      <c r="AD291" s="18">
        <f t="shared" ca="1" si="49"/>
        <v>0</v>
      </c>
      <c r="AE291" s="10"/>
    </row>
    <row r="292" spans="1:31" ht="72" customHeight="1">
      <c r="A292" s="38" t="s">
        <v>62</v>
      </c>
      <c r="B292" s="8" t="s">
        <v>73</v>
      </c>
      <c r="C292" s="16"/>
      <c r="D292" s="17"/>
      <c r="E292" s="2"/>
      <c r="F292" s="2"/>
      <c r="G292" s="2"/>
      <c r="H292" s="2"/>
      <c r="I292" s="2"/>
      <c r="J292" s="17"/>
      <c r="K292" s="1">
        <f t="shared" si="42"/>
        <v>0</v>
      </c>
      <c r="L292" s="8" t="s">
        <v>181</v>
      </c>
      <c r="M292" s="3"/>
      <c r="N292" s="10"/>
      <c r="O292" s="5" t="s">
        <v>181</v>
      </c>
      <c r="P292" s="10"/>
      <c r="Q292" s="10"/>
      <c r="R292" s="10"/>
      <c r="S292" s="10"/>
      <c r="U292" s="10"/>
      <c r="V292" s="10"/>
      <c r="W292" s="10"/>
      <c r="X292" s="18">
        <f t="shared" ca="1" si="43"/>
        <v>0</v>
      </c>
      <c r="Y292" s="18">
        <f t="shared" ca="1" si="44"/>
        <v>0</v>
      </c>
      <c r="Z292" s="18">
        <f t="shared" ca="1" si="45"/>
        <v>0</v>
      </c>
      <c r="AA292" s="18">
        <f t="shared" ca="1" si="46"/>
        <v>0</v>
      </c>
      <c r="AB292" s="18">
        <f t="shared" ca="1" si="47"/>
        <v>0</v>
      </c>
      <c r="AC292" s="18">
        <f t="shared" ca="1" si="48"/>
        <v>0</v>
      </c>
      <c r="AD292" s="18">
        <f t="shared" ca="1" si="49"/>
        <v>0</v>
      </c>
      <c r="AE292" s="10"/>
    </row>
    <row r="293" spans="1:31" ht="72" customHeight="1">
      <c r="A293" s="38" t="s">
        <v>62</v>
      </c>
      <c r="B293" s="8" t="s">
        <v>74</v>
      </c>
      <c r="C293" s="16"/>
      <c r="D293" s="17"/>
      <c r="E293" s="2"/>
      <c r="F293" s="2"/>
      <c r="G293" s="2"/>
      <c r="H293" s="2"/>
      <c r="I293" s="2"/>
      <c r="J293" s="17"/>
      <c r="K293" s="1">
        <f t="shared" si="42"/>
        <v>0</v>
      </c>
      <c r="L293" s="8" t="s">
        <v>181</v>
      </c>
      <c r="M293" s="3"/>
      <c r="N293" s="10"/>
      <c r="O293" s="5" t="s">
        <v>180</v>
      </c>
      <c r="P293" s="10"/>
      <c r="Q293" s="10"/>
      <c r="R293" s="10"/>
      <c r="S293" s="10"/>
      <c r="U293" s="10"/>
      <c r="V293" s="10"/>
      <c r="W293" s="10"/>
      <c r="X293" s="18">
        <f t="shared" ca="1" si="43"/>
        <v>0</v>
      </c>
      <c r="Y293" s="18">
        <f t="shared" ca="1" si="44"/>
        <v>0</v>
      </c>
      <c r="Z293" s="18">
        <f t="shared" ca="1" si="45"/>
        <v>0</v>
      </c>
      <c r="AA293" s="18">
        <f t="shared" ca="1" si="46"/>
        <v>0</v>
      </c>
      <c r="AB293" s="18">
        <f t="shared" ca="1" si="47"/>
        <v>0</v>
      </c>
      <c r="AC293" s="18">
        <f t="shared" ca="1" si="48"/>
        <v>0</v>
      </c>
      <c r="AD293" s="18">
        <f t="shared" ca="1" si="49"/>
        <v>0</v>
      </c>
      <c r="AE293" s="10"/>
    </row>
    <row r="294" spans="1:31" ht="72" customHeight="1">
      <c r="A294" s="38" t="s">
        <v>62</v>
      </c>
      <c r="B294" s="8" t="s">
        <v>171</v>
      </c>
      <c r="C294" s="16"/>
      <c r="D294" s="17"/>
      <c r="E294" s="2"/>
      <c r="F294" s="2"/>
      <c r="G294" s="2"/>
      <c r="H294" s="2"/>
      <c r="I294" s="2"/>
      <c r="J294" s="17"/>
      <c r="K294" s="1">
        <f t="shared" si="42"/>
        <v>0</v>
      </c>
      <c r="L294" s="8" t="s">
        <v>181</v>
      </c>
      <c r="M294" s="3"/>
      <c r="N294" s="10"/>
      <c r="O294" s="5" t="s">
        <v>181</v>
      </c>
      <c r="P294" s="10"/>
      <c r="Q294" s="10"/>
      <c r="R294" s="10"/>
      <c r="S294" s="10"/>
      <c r="U294" s="10"/>
      <c r="V294" s="10"/>
      <c r="W294" s="10"/>
      <c r="X294" s="18">
        <f t="shared" ca="1" si="43"/>
        <v>0</v>
      </c>
      <c r="Y294" s="18">
        <f t="shared" ca="1" si="44"/>
        <v>0</v>
      </c>
      <c r="Z294" s="18">
        <f t="shared" ca="1" si="45"/>
        <v>0</v>
      </c>
      <c r="AA294" s="18">
        <f t="shared" ca="1" si="46"/>
        <v>0</v>
      </c>
      <c r="AB294" s="18">
        <f t="shared" ca="1" si="47"/>
        <v>0</v>
      </c>
      <c r="AC294" s="18">
        <f t="shared" ca="1" si="48"/>
        <v>0</v>
      </c>
      <c r="AD294" s="18">
        <f t="shared" ca="1" si="49"/>
        <v>0</v>
      </c>
      <c r="AE294" s="10"/>
    </row>
    <row r="295" spans="1:31" ht="72" customHeight="1">
      <c r="A295" s="38" t="s">
        <v>63</v>
      </c>
      <c r="B295" s="8" t="s">
        <v>67</v>
      </c>
      <c r="C295" s="16"/>
      <c r="D295" s="17"/>
      <c r="E295" s="2"/>
      <c r="F295" s="2"/>
      <c r="G295" s="2"/>
      <c r="H295" s="2"/>
      <c r="I295" s="2"/>
      <c r="J295" s="17"/>
      <c r="K295" s="1">
        <f t="shared" si="42"/>
        <v>0</v>
      </c>
      <c r="L295" s="8" t="s">
        <v>181</v>
      </c>
      <c r="M295" s="3"/>
      <c r="N295" s="10"/>
      <c r="O295" s="5" t="s">
        <v>180</v>
      </c>
      <c r="P295" s="10"/>
      <c r="Q295" s="10"/>
      <c r="R295" s="10"/>
      <c r="S295" s="10"/>
      <c r="U295" s="10"/>
      <c r="V295" s="10"/>
      <c r="W295" s="10"/>
      <c r="X295" s="18">
        <f t="shared" ca="1" si="43"/>
        <v>0</v>
      </c>
      <c r="Y295" s="18">
        <f t="shared" ca="1" si="44"/>
        <v>0</v>
      </c>
      <c r="Z295" s="18">
        <f t="shared" ca="1" si="45"/>
        <v>0</v>
      </c>
      <c r="AA295" s="18">
        <f t="shared" ca="1" si="46"/>
        <v>0</v>
      </c>
      <c r="AB295" s="18">
        <f t="shared" ca="1" si="47"/>
        <v>0</v>
      </c>
      <c r="AC295" s="18">
        <f t="shared" ca="1" si="48"/>
        <v>0</v>
      </c>
      <c r="AD295" s="18">
        <f t="shared" ca="1" si="49"/>
        <v>0</v>
      </c>
      <c r="AE295" s="10"/>
    </row>
    <row r="296" spans="1:31" ht="72" customHeight="1">
      <c r="A296" s="43" t="s">
        <v>64</v>
      </c>
      <c r="B296" s="8" t="s">
        <v>68</v>
      </c>
      <c r="C296" s="16"/>
      <c r="D296" s="17"/>
      <c r="E296" s="2">
        <f>0.75+0.25</f>
        <v>1</v>
      </c>
      <c r="F296" s="2"/>
      <c r="G296" s="2"/>
      <c r="H296" s="2"/>
      <c r="I296" s="2"/>
      <c r="J296" s="17"/>
      <c r="K296" s="1">
        <f t="shared" si="42"/>
        <v>1</v>
      </c>
      <c r="L296" s="8" t="s">
        <v>182</v>
      </c>
      <c r="M296" s="3"/>
      <c r="N296" s="10"/>
      <c r="O296" s="5" t="s">
        <v>181</v>
      </c>
      <c r="P296" s="10"/>
      <c r="Q296" s="10"/>
      <c r="R296" s="10"/>
      <c r="S296" s="10"/>
      <c r="U296" s="10"/>
      <c r="V296" s="10"/>
      <c r="W296" s="10"/>
      <c r="X296" s="18">
        <f t="shared" ca="1" si="43"/>
        <v>0</v>
      </c>
      <c r="Y296" s="18">
        <f t="shared" ca="1" si="44"/>
        <v>2</v>
      </c>
      <c r="Z296" s="18">
        <f t="shared" ca="1" si="45"/>
        <v>0</v>
      </c>
      <c r="AA296" s="18">
        <f t="shared" ca="1" si="46"/>
        <v>0</v>
      </c>
      <c r="AB296" s="18">
        <f t="shared" ca="1" si="47"/>
        <v>0</v>
      </c>
      <c r="AC296" s="18">
        <f t="shared" ca="1" si="48"/>
        <v>0</v>
      </c>
      <c r="AD296" s="18">
        <f t="shared" ca="1" si="49"/>
        <v>0</v>
      </c>
      <c r="AE296" s="10"/>
    </row>
    <row r="297" spans="1:31" ht="72" customHeight="1">
      <c r="A297" s="38" t="s">
        <v>177</v>
      </c>
      <c r="B297" s="8" t="s">
        <v>117</v>
      </c>
      <c r="C297" s="16"/>
      <c r="D297" s="17"/>
      <c r="E297" s="2"/>
      <c r="F297" s="2"/>
      <c r="G297" s="2"/>
      <c r="H297" s="2"/>
      <c r="I297" s="2"/>
      <c r="J297" s="17"/>
      <c r="K297" s="1">
        <f t="shared" si="42"/>
        <v>0</v>
      </c>
      <c r="L297" s="8" t="s">
        <v>181</v>
      </c>
      <c r="M297" s="3"/>
      <c r="N297" s="10"/>
      <c r="O297" s="5" t="s">
        <v>180</v>
      </c>
      <c r="P297" s="10"/>
      <c r="Q297" s="10"/>
      <c r="R297" s="10"/>
      <c r="S297" s="10"/>
      <c r="U297" s="10"/>
      <c r="V297" s="10"/>
      <c r="W297" s="10"/>
      <c r="X297" s="18">
        <f t="shared" ca="1" si="43"/>
        <v>0</v>
      </c>
      <c r="Y297" s="18">
        <f t="shared" ca="1" si="44"/>
        <v>0</v>
      </c>
      <c r="Z297" s="18">
        <f t="shared" ca="1" si="45"/>
        <v>0</v>
      </c>
      <c r="AA297" s="18">
        <f t="shared" ca="1" si="46"/>
        <v>0</v>
      </c>
      <c r="AB297" s="18">
        <f t="shared" ca="1" si="47"/>
        <v>0</v>
      </c>
      <c r="AC297" s="18">
        <f t="shared" ca="1" si="48"/>
        <v>0</v>
      </c>
      <c r="AD297" s="18">
        <f t="shared" ca="1" si="49"/>
        <v>0</v>
      </c>
      <c r="AE297" s="10"/>
    </row>
    <row r="298" spans="1:31" ht="72" customHeight="1">
      <c r="A298" s="38" t="s">
        <v>177</v>
      </c>
      <c r="B298" s="8" t="s">
        <v>118</v>
      </c>
      <c r="C298" s="16"/>
      <c r="D298" s="17"/>
      <c r="E298" s="2"/>
      <c r="F298" s="2"/>
      <c r="G298" s="2"/>
      <c r="H298" s="2"/>
      <c r="I298" s="2"/>
      <c r="J298" s="17"/>
      <c r="K298" s="1">
        <f t="shared" si="42"/>
        <v>0</v>
      </c>
      <c r="L298" s="8" t="s">
        <v>181</v>
      </c>
      <c r="M298" s="3"/>
      <c r="N298" s="10"/>
      <c r="O298" s="5" t="s">
        <v>180</v>
      </c>
      <c r="P298" s="10"/>
      <c r="Q298" s="10"/>
      <c r="R298" s="10"/>
      <c r="S298" s="10"/>
      <c r="U298" s="10"/>
      <c r="V298" s="10"/>
      <c r="W298" s="10"/>
      <c r="X298" s="18">
        <f t="shared" ca="1" si="43"/>
        <v>0</v>
      </c>
      <c r="Y298" s="18">
        <f t="shared" ca="1" si="44"/>
        <v>0</v>
      </c>
      <c r="Z298" s="18">
        <f t="shared" ca="1" si="45"/>
        <v>0</v>
      </c>
      <c r="AA298" s="18">
        <f t="shared" ca="1" si="46"/>
        <v>0</v>
      </c>
      <c r="AB298" s="18">
        <f t="shared" ca="1" si="47"/>
        <v>0</v>
      </c>
      <c r="AC298" s="18">
        <f t="shared" ca="1" si="48"/>
        <v>0</v>
      </c>
      <c r="AD298" s="18">
        <f t="shared" ca="1" si="49"/>
        <v>0</v>
      </c>
      <c r="AE298" s="10"/>
    </row>
    <row r="299" spans="1:31" ht="72" customHeight="1">
      <c r="A299" s="38" t="s">
        <v>177</v>
      </c>
      <c r="B299" s="8" t="s">
        <v>119</v>
      </c>
      <c r="C299" s="16"/>
      <c r="D299" s="17"/>
      <c r="E299" s="2"/>
      <c r="F299" s="2"/>
      <c r="G299" s="2"/>
      <c r="H299" s="2"/>
      <c r="I299" s="2"/>
      <c r="J299" s="17"/>
      <c r="K299" s="1">
        <f t="shared" si="42"/>
        <v>0</v>
      </c>
      <c r="L299" s="8" t="s">
        <v>181</v>
      </c>
      <c r="M299" s="3"/>
      <c r="N299" s="10"/>
      <c r="O299" s="5" t="s">
        <v>180</v>
      </c>
      <c r="P299" s="10"/>
      <c r="Q299" s="10"/>
      <c r="R299" s="10"/>
      <c r="S299" s="10"/>
      <c r="U299" s="10"/>
      <c r="V299" s="10"/>
      <c r="W299" s="10"/>
      <c r="X299" s="18">
        <f t="shared" ca="1" si="43"/>
        <v>0</v>
      </c>
      <c r="Y299" s="18">
        <f t="shared" ca="1" si="44"/>
        <v>0</v>
      </c>
      <c r="Z299" s="18">
        <f t="shared" ca="1" si="45"/>
        <v>0</v>
      </c>
      <c r="AA299" s="18">
        <f t="shared" ca="1" si="46"/>
        <v>0</v>
      </c>
      <c r="AB299" s="18">
        <f t="shared" ca="1" si="47"/>
        <v>0</v>
      </c>
      <c r="AC299" s="18">
        <f t="shared" ca="1" si="48"/>
        <v>0</v>
      </c>
      <c r="AD299" s="18">
        <f t="shared" ca="1" si="49"/>
        <v>0</v>
      </c>
      <c r="AE299" s="10"/>
    </row>
    <row r="300" spans="1:31" ht="72" customHeight="1">
      <c r="A300" s="38" t="s">
        <v>177</v>
      </c>
      <c r="B300" s="8" t="s">
        <v>120</v>
      </c>
      <c r="C300" s="16"/>
      <c r="D300" s="17"/>
      <c r="E300" s="2"/>
      <c r="F300" s="2"/>
      <c r="G300" s="2"/>
      <c r="H300" s="2"/>
      <c r="I300" s="2"/>
      <c r="J300" s="17"/>
      <c r="K300" s="1">
        <f t="shared" si="42"/>
        <v>0</v>
      </c>
      <c r="L300" s="8" t="s">
        <v>181</v>
      </c>
      <c r="M300" s="3"/>
      <c r="N300" s="10"/>
      <c r="O300" s="5" t="s">
        <v>180</v>
      </c>
      <c r="P300" s="10"/>
      <c r="Q300" s="10"/>
      <c r="R300" s="10"/>
      <c r="S300" s="10"/>
      <c r="U300" s="10"/>
      <c r="V300" s="10"/>
      <c r="W300" s="10"/>
      <c r="X300" s="18">
        <f t="shared" ca="1" si="43"/>
        <v>0</v>
      </c>
      <c r="Y300" s="18">
        <f t="shared" ca="1" si="44"/>
        <v>0</v>
      </c>
      <c r="Z300" s="18">
        <f t="shared" ca="1" si="45"/>
        <v>0</v>
      </c>
      <c r="AA300" s="18">
        <f t="shared" ca="1" si="46"/>
        <v>0</v>
      </c>
      <c r="AB300" s="18">
        <f t="shared" ca="1" si="47"/>
        <v>0</v>
      </c>
      <c r="AC300" s="18">
        <f t="shared" ca="1" si="48"/>
        <v>0</v>
      </c>
      <c r="AD300" s="18">
        <f t="shared" ca="1" si="49"/>
        <v>0</v>
      </c>
      <c r="AE300" s="10"/>
    </row>
    <row r="301" spans="1:31" ht="72" customHeight="1">
      <c r="A301" s="38" t="s">
        <v>177</v>
      </c>
      <c r="B301" s="8" t="s">
        <v>121</v>
      </c>
      <c r="C301" s="16"/>
      <c r="D301" s="17"/>
      <c r="E301" s="2"/>
      <c r="F301" s="2"/>
      <c r="G301" s="2"/>
      <c r="H301" s="2"/>
      <c r="I301" s="2"/>
      <c r="J301" s="17"/>
      <c r="K301" s="1">
        <f t="shared" si="42"/>
        <v>0</v>
      </c>
      <c r="L301" s="8" t="s">
        <v>181</v>
      </c>
      <c r="M301" s="3"/>
      <c r="N301" s="10"/>
      <c r="O301" s="5" t="s">
        <v>180</v>
      </c>
      <c r="P301" s="10"/>
      <c r="Q301" s="10"/>
      <c r="R301" s="10"/>
      <c r="S301" s="10"/>
      <c r="U301" s="10"/>
      <c r="V301" s="10"/>
      <c r="W301" s="10"/>
      <c r="X301" s="18">
        <f t="shared" ca="1" si="43"/>
        <v>0</v>
      </c>
      <c r="Y301" s="18">
        <f t="shared" ca="1" si="44"/>
        <v>0</v>
      </c>
      <c r="Z301" s="18">
        <f t="shared" ca="1" si="45"/>
        <v>0</v>
      </c>
      <c r="AA301" s="18">
        <f t="shared" ca="1" si="46"/>
        <v>0</v>
      </c>
      <c r="AB301" s="18">
        <f t="shared" ca="1" si="47"/>
        <v>0</v>
      </c>
      <c r="AC301" s="18">
        <f t="shared" ca="1" si="48"/>
        <v>0</v>
      </c>
      <c r="AD301" s="18">
        <f t="shared" ca="1" si="49"/>
        <v>0</v>
      </c>
      <c r="AE301" s="10"/>
    </row>
    <row r="302" spans="1:31" ht="72" customHeight="1">
      <c r="A302" s="38" t="s">
        <v>177</v>
      </c>
      <c r="B302" s="8" t="s">
        <v>122</v>
      </c>
      <c r="C302" s="16"/>
      <c r="D302" s="17"/>
      <c r="E302" s="2"/>
      <c r="F302" s="2"/>
      <c r="G302" s="2"/>
      <c r="H302" s="2"/>
      <c r="I302" s="2"/>
      <c r="J302" s="17"/>
      <c r="K302" s="1">
        <f t="shared" si="42"/>
        <v>0</v>
      </c>
      <c r="L302" s="8" t="s">
        <v>181</v>
      </c>
      <c r="M302" s="3"/>
      <c r="N302" s="10"/>
      <c r="O302" s="5" t="s">
        <v>180</v>
      </c>
      <c r="P302" s="10"/>
      <c r="Q302" s="10"/>
      <c r="R302" s="10"/>
      <c r="S302" s="10"/>
      <c r="U302" s="10"/>
      <c r="V302" s="10"/>
      <c r="W302" s="10"/>
      <c r="X302" s="18">
        <f t="shared" ca="1" si="43"/>
        <v>0</v>
      </c>
      <c r="Y302" s="18">
        <f t="shared" ca="1" si="44"/>
        <v>0</v>
      </c>
      <c r="Z302" s="18">
        <f t="shared" ca="1" si="45"/>
        <v>0</v>
      </c>
      <c r="AA302" s="18">
        <f t="shared" ca="1" si="46"/>
        <v>0</v>
      </c>
      <c r="AB302" s="18">
        <f t="shared" ca="1" si="47"/>
        <v>0</v>
      </c>
      <c r="AC302" s="18">
        <f t="shared" ca="1" si="48"/>
        <v>0</v>
      </c>
      <c r="AD302" s="18">
        <f t="shared" ca="1" si="49"/>
        <v>0</v>
      </c>
      <c r="AE302" s="10"/>
    </row>
    <row r="303" spans="1:31" ht="72" customHeight="1">
      <c r="A303" s="38" t="s">
        <v>177</v>
      </c>
      <c r="B303" s="8" t="s">
        <v>123</v>
      </c>
      <c r="C303" s="16"/>
      <c r="D303" s="17"/>
      <c r="E303" s="2"/>
      <c r="F303" s="2"/>
      <c r="G303" s="2"/>
      <c r="H303" s="2"/>
      <c r="I303" s="2"/>
      <c r="J303" s="17"/>
      <c r="K303" s="1">
        <f t="shared" si="42"/>
        <v>0</v>
      </c>
      <c r="L303" s="8" t="s">
        <v>181</v>
      </c>
      <c r="M303" s="3"/>
      <c r="N303" s="10"/>
      <c r="O303" s="5" t="s">
        <v>180</v>
      </c>
      <c r="P303" s="10"/>
      <c r="Q303" s="10"/>
      <c r="R303" s="10"/>
      <c r="S303" s="10"/>
      <c r="U303" s="10"/>
      <c r="V303" s="10"/>
      <c r="W303" s="10"/>
      <c r="X303" s="18">
        <f t="shared" ca="1" si="43"/>
        <v>0</v>
      </c>
      <c r="Y303" s="18">
        <f t="shared" ca="1" si="44"/>
        <v>0</v>
      </c>
      <c r="Z303" s="18">
        <f t="shared" ca="1" si="45"/>
        <v>0</v>
      </c>
      <c r="AA303" s="18">
        <f t="shared" ca="1" si="46"/>
        <v>0</v>
      </c>
      <c r="AB303" s="18">
        <f t="shared" ca="1" si="47"/>
        <v>0</v>
      </c>
      <c r="AC303" s="18">
        <f t="shared" ca="1" si="48"/>
        <v>0</v>
      </c>
      <c r="AD303" s="18">
        <f t="shared" ca="1" si="49"/>
        <v>0</v>
      </c>
      <c r="AE303" s="10"/>
    </row>
    <row r="304" spans="1:31" ht="72" customHeight="1">
      <c r="A304" s="38" t="s">
        <v>177</v>
      </c>
      <c r="B304" s="8" t="s">
        <v>124</v>
      </c>
      <c r="C304" s="16"/>
      <c r="D304" s="17"/>
      <c r="E304" s="2"/>
      <c r="F304" s="2"/>
      <c r="G304" s="2"/>
      <c r="H304" s="2"/>
      <c r="I304" s="2"/>
      <c r="J304" s="17"/>
      <c r="K304" s="1">
        <f t="shared" si="42"/>
        <v>0</v>
      </c>
      <c r="L304" s="8" t="s">
        <v>181</v>
      </c>
      <c r="M304" s="3"/>
      <c r="N304" s="10"/>
      <c r="O304" s="5" t="s">
        <v>180</v>
      </c>
      <c r="P304" s="10"/>
      <c r="Q304" s="10"/>
      <c r="R304" s="10"/>
      <c r="S304" s="10"/>
      <c r="U304" s="10"/>
      <c r="V304" s="10"/>
      <c r="W304" s="10"/>
      <c r="X304" s="18">
        <f t="shared" ca="1" si="43"/>
        <v>0</v>
      </c>
      <c r="Y304" s="18">
        <f t="shared" ca="1" si="44"/>
        <v>0</v>
      </c>
      <c r="Z304" s="18">
        <f t="shared" ca="1" si="45"/>
        <v>0</v>
      </c>
      <c r="AA304" s="18">
        <f t="shared" ca="1" si="46"/>
        <v>0</v>
      </c>
      <c r="AB304" s="18">
        <f t="shared" ca="1" si="47"/>
        <v>0</v>
      </c>
      <c r="AC304" s="18">
        <f t="shared" ca="1" si="48"/>
        <v>0</v>
      </c>
      <c r="AD304" s="18">
        <f t="shared" ca="1" si="49"/>
        <v>0</v>
      </c>
      <c r="AE304" s="10"/>
    </row>
    <row r="305" spans="1:31" ht="72" customHeight="1">
      <c r="A305" s="38" t="s">
        <v>177</v>
      </c>
      <c r="B305" s="8" t="s">
        <v>125</v>
      </c>
      <c r="C305" s="16"/>
      <c r="D305" s="17"/>
      <c r="E305" s="2"/>
      <c r="F305" s="2"/>
      <c r="G305" s="2"/>
      <c r="H305" s="2"/>
      <c r="I305" s="2"/>
      <c r="J305" s="17"/>
      <c r="K305" s="1">
        <f t="shared" si="42"/>
        <v>0</v>
      </c>
      <c r="L305" s="8" t="s">
        <v>181</v>
      </c>
      <c r="M305" s="3"/>
      <c r="N305" s="10"/>
      <c r="O305" s="5" t="s">
        <v>180</v>
      </c>
      <c r="P305" s="10"/>
      <c r="Q305" s="10"/>
      <c r="R305" s="10"/>
      <c r="S305" s="10"/>
      <c r="U305" s="10"/>
      <c r="V305" s="10"/>
      <c r="W305" s="10"/>
      <c r="X305" s="18">
        <f t="shared" ca="1" si="43"/>
        <v>0</v>
      </c>
      <c r="Y305" s="18">
        <f t="shared" ca="1" si="44"/>
        <v>0</v>
      </c>
      <c r="Z305" s="18">
        <f t="shared" ca="1" si="45"/>
        <v>0</v>
      </c>
      <c r="AA305" s="18">
        <f t="shared" ca="1" si="46"/>
        <v>0</v>
      </c>
      <c r="AB305" s="18">
        <f t="shared" ca="1" si="47"/>
        <v>0</v>
      </c>
      <c r="AC305" s="18">
        <f t="shared" ca="1" si="48"/>
        <v>0</v>
      </c>
      <c r="AD305" s="18">
        <f t="shared" ca="1" si="49"/>
        <v>0</v>
      </c>
      <c r="AE305" s="10"/>
    </row>
    <row r="306" spans="1:31" ht="72" customHeight="1">
      <c r="A306" s="38" t="s">
        <v>177</v>
      </c>
      <c r="B306" s="8" t="s">
        <v>126</v>
      </c>
      <c r="C306" s="16"/>
      <c r="D306" s="17"/>
      <c r="E306" s="2"/>
      <c r="F306" s="2"/>
      <c r="G306" s="2"/>
      <c r="H306" s="2"/>
      <c r="I306" s="2"/>
      <c r="J306" s="17"/>
      <c r="K306" s="1">
        <f t="shared" si="42"/>
        <v>0</v>
      </c>
      <c r="L306" s="8" t="s">
        <v>181</v>
      </c>
      <c r="M306" s="3"/>
      <c r="N306" s="10"/>
      <c r="O306" s="5" t="s">
        <v>180</v>
      </c>
      <c r="P306" s="10"/>
      <c r="Q306" s="10"/>
      <c r="R306" s="10"/>
      <c r="S306" s="10"/>
      <c r="U306" s="10"/>
      <c r="V306" s="10"/>
      <c r="W306" s="10"/>
      <c r="X306" s="18">
        <f t="shared" ca="1" si="43"/>
        <v>0</v>
      </c>
      <c r="Y306" s="18">
        <f t="shared" ca="1" si="44"/>
        <v>0</v>
      </c>
      <c r="Z306" s="18">
        <f t="shared" ca="1" si="45"/>
        <v>0</v>
      </c>
      <c r="AA306" s="18">
        <f t="shared" ca="1" si="46"/>
        <v>0</v>
      </c>
      <c r="AB306" s="18">
        <f t="shared" ca="1" si="47"/>
        <v>0</v>
      </c>
      <c r="AC306" s="18">
        <f t="shared" ca="1" si="48"/>
        <v>0</v>
      </c>
      <c r="AD306" s="18">
        <f t="shared" ca="1" si="49"/>
        <v>0</v>
      </c>
      <c r="AE306" s="10"/>
    </row>
    <row r="307" spans="1:31" ht="72" customHeight="1">
      <c r="A307" s="38" t="s">
        <v>177</v>
      </c>
      <c r="B307" s="8" t="s">
        <v>127</v>
      </c>
      <c r="C307" s="16"/>
      <c r="D307" s="17"/>
      <c r="E307" s="2"/>
      <c r="F307" s="2"/>
      <c r="G307" s="2"/>
      <c r="H307" s="2"/>
      <c r="I307" s="2"/>
      <c r="J307" s="17"/>
      <c r="K307" s="1">
        <f t="shared" si="42"/>
        <v>0</v>
      </c>
      <c r="L307" s="8" t="s">
        <v>181</v>
      </c>
      <c r="M307" s="3"/>
      <c r="N307" s="10"/>
      <c r="O307" s="5" t="s">
        <v>180</v>
      </c>
      <c r="P307" s="10"/>
      <c r="Q307" s="10"/>
      <c r="R307" s="10"/>
      <c r="S307" s="10"/>
      <c r="U307" s="10"/>
      <c r="V307" s="10"/>
      <c r="W307" s="10"/>
      <c r="X307" s="18">
        <f t="shared" ca="1" si="43"/>
        <v>0</v>
      </c>
      <c r="Y307" s="18">
        <f t="shared" ca="1" si="44"/>
        <v>0</v>
      </c>
      <c r="Z307" s="18">
        <f t="shared" ca="1" si="45"/>
        <v>0</v>
      </c>
      <c r="AA307" s="18">
        <f t="shared" ca="1" si="46"/>
        <v>0</v>
      </c>
      <c r="AB307" s="18">
        <f t="shared" ca="1" si="47"/>
        <v>0</v>
      </c>
      <c r="AC307" s="18">
        <f t="shared" ca="1" si="48"/>
        <v>0</v>
      </c>
      <c r="AD307" s="18">
        <f t="shared" ca="1" si="49"/>
        <v>0</v>
      </c>
      <c r="AE307" s="10"/>
    </row>
    <row r="308" spans="1:31" ht="72" customHeight="1">
      <c r="A308" s="38" t="s">
        <v>177</v>
      </c>
      <c r="B308" s="8" t="s">
        <v>128</v>
      </c>
      <c r="C308" s="16"/>
      <c r="D308" s="17"/>
      <c r="E308" s="2"/>
      <c r="F308" s="2"/>
      <c r="G308" s="2"/>
      <c r="H308" s="2"/>
      <c r="I308" s="2"/>
      <c r="J308" s="17"/>
      <c r="K308" s="1">
        <f t="shared" si="42"/>
        <v>0</v>
      </c>
      <c r="L308" s="8" t="s">
        <v>181</v>
      </c>
      <c r="M308" s="3"/>
      <c r="N308" s="10"/>
      <c r="O308" s="5" t="s">
        <v>181</v>
      </c>
      <c r="P308" s="10"/>
      <c r="Q308" s="10"/>
      <c r="R308" s="10"/>
      <c r="S308" s="10"/>
      <c r="U308" s="10"/>
      <c r="V308" s="10"/>
      <c r="W308" s="10"/>
      <c r="X308" s="18">
        <f t="shared" ca="1" si="43"/>
        <v>0</v>
      </c>
      <c r="Y308" s="18">
        <f t="shared" ca="1" si="44"/>
        <v>0</v>
      </c>
      <c r="Z308" s="18">
        <f t="shared" ca="1" si="45"/>
        <v>0</v>
      </c>
      <c r="AA308" s="18">
        <f t="shared" ca="1" si="46"/>
        <v>0</v>
      </c>
      <c r="AB308" s="18">
        <f t="shared" ca="1" si="47"/>
        <v>0</v>
      </c>
      <c r="AC308" s="18">
        <f t="shared" ca="1" si="48"/>
        <v>0</v>
      </c>
      <c r="AD308" s="18">
        <f t="shared" ca="1" si="49"/>
        <v>0</v>
      </c>
      <c r="AE308" s="10"/>
    </row>
    <row r="309" spans="1:31" ht="72" customHeight="1">
      <c r="A309" s="38" t="s">
        <v>177</v>
      </c>
      <c r="B309" s="8" t="s">
        <v>129</v>
      </c>
      <c r="C309" s="16"/>
      <c r="D309" s="17"/>
      <c r="E309" s="2"/>
      <c r="F309" s="2"/>
      <c r="G309" s="2"/>
      <c r="H309" s="2"/>
      <c r="I309" s="2"/>
      <c r="J309" s="17"/>
      <c r="K309" s="1">
        <f t="shared" si="42"/>
        <v>0</v>
      </c>
      <c r="L309" s="8" t="s">
        <v>181</v>
      </c>
      <c r="M309" s="3"/>
      <c r="N309" s="10"/>
      <c r="O309" s="5" t="s">
        <v>180</v>
      </c>
      <c r="P309" s="10"/>
      <c r="Q309" s="10"/>
      <c r="R309" s="10"/>
      <c r="S309" s="10"/>
      <c r="U309" s="10"/>
      <c r="V309" s="10"/>
      <c r="W309" s="10"/>
      <c r="X309" s="18">
        <f t="shared" ca="1" si="43"/>
        <v>0</v>
      </c>
      <c r="Y309" s="18">
        <f t="shared" ca="1" si="44"/>
        <v>0</v>
      </c>
      <c r="Z309" s="18">
        <f t="shared" ca="1" si="45"/>
        <v>0</v>
      </c>
      <c r="AA309" s="18">
        <f t="shared" ca="1" si="46"/>
        <v>0</v>
      </c>
      <c r="AB309" s="18">
        <f t="shared" ca="1" si="47"/>
        <v>0</v>
      </c>
      <c r="AC309" s="18">
        <f t="shared" ca="1" si="48"/>
        <v>0</v>
      </c>
      <c r="AD309" s="18">
        <f t="shared" ca="1" si="49"/>
        <v>0</v>
      </c>
      <c r="AE309" s="10"/>
    </row>
    <row r="310" spans="1:31" ht="72" customHeight="1">
      <c r="A310" s="38" t="s">
        <v>177</v>
      </c>
      <c r="B310" s="8" t="s">
        <v>130</v>
      </c>
      <c r="C310" s="16"/>
      <c r="D310" s="17"/>
      <c r="E310" s="2"/>
      <c r="F310" s="2"/>
      <c r="G310" s="2"/>
      <c r="H310" s="2"/>
      <c r="I310" s="2"/>
      <c r="J310" s="17"/>
      <c r="K310" s="1">
        <f t="shared" si="42"/>
        <v>0</v>
      </c>
      <c r="L310" s="8" t="s">
        <v>181</v>
      </c>
      <c r="M310" s="3"/>
      <c r="N310" s="10"/>
      <c r="O310" s="5" t="s">
        <v>180</v>
      </c>
      <c r="P310" s="10"/>
      <c r="Q310" s="10"/>
      <c r="R310" s="10"/>
      <c r="S310" s="10"/>
      <c r="U310" s="10"/>
      <c r="V310" s="10"/>
      <c r="W310" s="10"/>
      <c r="X310" s="18">
        <f t="shared" ca="1" si="43"/>
        <v>0</v>
      </c>
      <c r="Y310" s="18">
        <f t="shared" ca="1" si="44"/>
        <v>0</v>
      </c>
      <c r="Z310" s="18">
        <f t="shared" ca="1" si="45"/>
        <v>0</v>
      </c>
      <c r="AA310" s="18">
        <f t="shared" ca="1" si="46"/>
        <v>0</v>
      </c>
      <c r="AB310" s="18">
        <f t="shared" ca="1" si="47"/>
        <v>0</v>
      </c>
      <c r="AC310" s="18">
        <f t="shared" ca="1" si="48"/>
        <v>0</v>
      </c>
      <c r="AD310" s="18">
        <f t="shared" ca="1" si="49"/>
        <v>0</v>
      </c>
      <c r="AE310" s="10"/>
    </row>
    <row r="311" spans="1:31" ht="72" customHeight="1">
      <c r="A311" s="38" t="s">
        <v>177</v>
      </c>
      <c r="B311" s="8" t="s">
        <v>131</v>
      </c>
      <c r="C311" s="16"/>
      <c r="D311" s="17"/>
      <c r="E311" s="2"/>
      <c r="F311" s="2"/>
      <c r="G311" s="2"/>
      <c r="H311" s="2"/>
      <c r="I311" s="2"/>
      <c r="J311" s="17"/>
      <c r="K311" s="1">
        <f t="shared" si="42"/>
        <v>0</v>
      </c>
      <c r="L311" s="8" t="s">
        <v>181</v>
      </c>
      <c r="M311" s="3"/>
      <c r="N311" s="10"/>
      <c r="O311" s="5" t="s">
        <v>180</v>
      </c>
      <c r="P311" s="10"/>
      <c r="Q311" s="10"/>
      <c r="R311" s="10"/>
      <c r="S311" s="10"/>
      <c r="U311" s="10"/>
      <c r="V311" s="10"/>
      <c r="W311" s="10"/>
      <c r="X311" s="18">
        <f t="shared" ca="1" si="43"/>
        <v>0</v>
      </c>
      <c r="Y311" s="18">
        <f t="shared" ca="1" si="44"/>
        <v>0</v>
      </c>
      <c r="Z311" s="18">
        <f t="shared" ca="1" si="45"/>
        <v>0</v>
      </c>
      <c r="AA311" s="18">
        <f t="shared" ca="1" si="46"/>
        <v>0</v>
      </c>
      <c r="AB311" s="18">
        <f t="shared" ca="1" si="47"/>
        <v>0</v>
      </c>
      <c r="AC311" s="18">
        <f t="shared" ca="1" si="48"/>
        <v>0</v>
      </c>
      <c r="AD311" s="18">
        <f t="shared" ca="1" si="49"/>
        <v>0</v>
      </c>
      <c r="AE311" s="10"/>
    </row>
    <row r="312" spans="1:31" ht="72" customHeight="1">
      <c r="A312" s="38" t="s">
        <v>177</v>
      </c>
      <c r="B312" s="8" t="s">
        <v>132</v>
      </c>
      <c r="C312" s="16"/>
      <c r="D312" s="17"/>
      <c r="E312" s="2"/>
      <c r="F312" s="2"/>
      <c r="G312" s="2"/>
      <c r="H312" s="2"/>
      <c r="I312" s="2"/>
      <c r="J312" s="17"/>
      <c r="K312" s="1">
        <f t="shared" si="42"/>
        <v>0</v>
      </c>
      <c r="L312" s="8" t="s">
        <v>181</v>
      </c>
      <c r="M312" s="3"/>
      <c r="N312" s="10"/>
      <c r="O312" s="5" t="s">
        <v>180</v>
      </c>
      <c r="P312" s="10"/>
      <c r="Q312" s="10"/>
      <c r="R312" s="10"/>
      <c r="S312" s="10"/>
      <c r="U312" s="10"/>
      <c r="V312" s="10"/>
      <c r="W312" s="10"/>
      <c r="X312" s="18">
        <f t="shared" ca="1" si="43"/>
        <v>0</v>
      </c>
      <c r="Y312" s="18">
        <f t="shared" ca="1" si="44"/>
        <v>0</v>
      </c>
      <c r="Z312" s="18">
        <f t="shared" ca="1" si="45"/>
        <v>0</v>
      </c>
      <c r="AA312" s="18">
        <f t="shared" ca="1" si="46"/>
        <v>0</v>
      </c>
      <c r="AB312" s="18">
        <f t="shared" ca="1" si="47"/>
        <v>0</v>
      </c>
      <c r="AC312" s="18">
        <f t="shared" ca="1" si="48"/>
        <v>0</v>
      </c>
      <c r="AD312" s="18">
        <f t="shared" ca="1" si="49"/>
        <v>0</v>
      </c>
      <c r="AE312" s="10"/>
    </row>
    <row r="313" spans="1:31" ht="72" customHeight="1">
      <c r="A313" s="38" t="s">
        <v>177</v>
      </c>
      <c r="B313" s="8" t="s">
        <v>133</v>
      </c>
      <c r="C313" s="16"/>
      <c r="D313" s="17"/>
      <c r="E313" s="2"/>
      <c r="F313" s="2"/>
      <c r="G313" s="2"/>
      <c r="H313" s="2"/>
      <c r="I313" s="2"/>
      <c r="J313" s="17"/>
      <c r="K313" s="1">
        <f t="shared" si="42"/>
        <v>0</v>
      </c>
      <c r="L313" s="8" t="s">
        <v>181</v>
      </c>
      <c r="M313" s="3"/>
      <c r="N313" s="10"/>
      <c r="O313" s="5" t="s">
        <v>180</v>
      </c>
      <c r="P313" s="10"/>
      <c r="Q313" s="10"/>
      <c r="R313" s="10"/>
      <c r="S313" s="10"/>
      <c r="U313" s="10"/>
      <c r="V313" s="10"/>
      <c r="W313" s="10"/>
      <c r="X313" s="18">
        <f t="shared" ca="1" si="43"/>
        <v>0</v>
      </c>
      <c r="Y313" s="18">
        <f t="shared" ca="1" si="44"/>
        <v>0</v>
      </c>
      <c r="Z313" s="18">
        <f t="shared" ca="1" si="45"/>
        <v>0</v>
      </c>
      <c r="AA313" s="18">
        <f t="shared" ca="1" si="46"/>
        <v>0</v>
      </c>
      <c r="AB313" s="18">
        <f t="shared" ca="1" si="47"/>
        <v>0</v>
      </c>
      <c r="AC313" s="18">
        <f t="shared" ca="1" si="48"/>
        <v>0</v>
      </c>
      <c r="AD313" s="18">
        <f t="shared" ca="1" si="49"/>
        <v>0</v>
      </c>
      <c r="AE313" s="10"/>
    </row>
    <row r="314" spans="1:31" ht="72" customHeight="1">
      <c r="A314" s="38" t="s">
        <v>177</v>
      </c>
      <c r="B314" s="8" t="s">
        <v>134</v>
      </c>
      <c r="C314" s="16"/>
      <c r="D314" s="17"/>
      <c r="E314" s="2"/>
      <c r="F314" s="2"/>
      <c r="G314" s="2"/>
      <c r="H314" s="2"/>
      <c r="I314" s="2"/>
      <c r="J314" s="17"/>
      <c r="K314" s="1">
        <f t="shared" si="42"/>
        <v>0</v>
      </c>
      <c r="L314" s="8" t="s">
        <v>181</v>
      </c>
      <c r="M314" s="3"/>
      <c r="N314" s="10"/>
      <c r="O314" s="5" t="s">
        <v>180</v>
      </c>
      <c r="P314" s="10"/>
      <c r="Q314" s="10"/>
      <c r="R314" s="10"/>
      <c r="S314" s="10"/>
      <c r="U314" s="10"/>
      <c r="V314" s="10"/>
      <c r="W314" s="10"/>
      <c r="X314" s="18">
        <f t="shared" ca="1" si="43"/>
        <v>0</v>
      </c>
      <c r="Y314" s="18">
        <f t="shared" ca="1" si="44"/>
        <v>0</v>
      </c>
      <c r="Z314" s="18">
        <f t="shared" ca="1" si="45"/>
        <v>0</v>
      </c>
      <c r="AA314" s="18">
        <f t="shared" ca="1" si="46"/>
        <v>0</v>
      </c>
      <c r="AB314" s="18">
        <f t="shared" ca="1" si="47"/>
        <v>0</v>
      </c>
      <c r="AC314" s="18">
        <f t="shared" ca="1" si="48"/>
        <v>0</v>
      </c>
      <c r="AD314" s="18">
        <f t="shared" ca="1" si="49"/>
        <v>0</v>
      </c>
      <c r="AE314" s="10"/>
    </row>
    <row r="315" spans="1:31" ht="72" customHeight="1">
      <c r="A315" s="38" t="s">
        <v>177</v>
      </c>
      <c r="B315" s="8" t="s">
        <v>135</v>
      </c>
      <c r="C315" s="16"/>
      <c r="D315" s="17"/>
      <c r="E315" s="2"/>
      <c r="F315" s="2"/>
      <c r="G315" s="2"/>
      <c r="H315" s="2"/>
      <c r="I315" s="2"/>
      <c r="J315" s="17"/>
      <c r="K315" s="1">
        <f t="shared" si="42"/>
        <v>0</v>
      </c>
      <c r="L315" s="8" t="s">
        <v>181</v>
      </c>
      <c r="M315" s="3"/>
      <c r="N315" s="10"/>
      <c r="O315" s="5" t="s">
        <v>180</v>
      </c>
      <c r="P315" s="10"/>
      <c r="Q315" s="10"/>
      <c r="R315" s="10"/>
      <c r="S315" s="10"/>
      <c r="U315" s="10"/>
      <c r="V315" s="10"/>
      <c r="W315" s="10"/>
      <c r="X315" s="18">
        <f t="shared" ca="1" si="43"/>
        <v>0</v>
      </c>
      <c r="Y315" s="18">
        <f t="shared" ca="1" si="44"/>
        <v>0</v>
      </c>
      <c r="Z315" s="18">
        <f t="shared" ca="1" si="45"/>
        <v>0</v>
      </c>
      <c r="AA315" s="18">
        <f t="shared" ca="1" si="46"/>
        <v>0</v>
      </c>
      <c r="AB315" s="18">
        <f t="shared" ca="1" si="47"/>
        <v>0</v>
      </c>
      <c r="AC315" s="18">
        <f t="shared" ca="1" si="48"/>
        <v>0</v>
      </c>
      <c r="AD315" s="18">
        <f t="shared" ca="1" si="49"/>
        <v>0</v>
      </c>
      <c r="AE315" s="10"/>
    </row>
    <row r="316" spans="1:31" ht="72" customHeight="1">
      <c r="A316" s="38" t="s">
        <v>177</v>
      </c>
      <c r="B316" s="8" t="s">
        <v>136</v>
      </c>
      <c r="C316" s="16"/>
      <c r="D316" s="17"/>
      <c r="E316" s="2"/>
      <c r="F316" s="2"/>
      <c r="G316" s="2"/>
      <c r="H316" s="2"/>
      <c r="I316" s="2"/>
      <c r="J316" s="17"/>
      <c r="K316" s="1">
        <f t="shared" si="42"/>
        <v>0</v>
      </c>
      <c r="L316" s="8" t="s">
        <v>181</v>
      </c>
      <c r="M316" s="3"/>
      <c r="N316" s="10"/>
      <c r="O316" s="5" t="s">
        <v>180</v>
      </c>
      <c r="P316" s="10"/>
      <c r="Q316" s="10"/>
      <c r="R316" s="10"/>
      <c r="S316" s="10"/>
      <c r="U316" s="10"/>
      <c r="V316" s="10"/>
      <c r="W316" s="10"/>
      <c r="X316" s="18">
        <f t="shared" ca="1" si="43"/>
        <v>0</v>
      </c>
      <c r="Y316" s="18">
        <f t="shared" ca="1" si="44"/>
        <v>0</v>
      </c>
      <c r="Z316" s="18">
        <f t="shared" ca="1" si="45"/>
        <v>0</v>
      </c>
      <c r="AA316" s="18">
        <f t="shared" ca="1" si="46"/>
        <v>0</v>
      </c>
      <c r="AB316" s="18">
        <f t="shared" ca="1" si="47"/>
        <v>0</v>
      </c>
      <c r="AC316" s="18">
        <f t="shared" ca="1" si="48"/>
        <v>0</v>
      </c>
      <c r="AD316" s="18">
        <f t="shared" ca="1" si="49"/>
        <v>0</v>
      </c>
      <c r="AE316" s="10"/>
    </row>
    <row r="317" spans="1:31" ht="72" customHeight="1">
      <c r="A317" s="38" t="s">
        <v>177</v>
      </c>
      <c r="B317" s="8" t="s">
        <v>137</v>
      </c>
      <c r="C317" s="16"/>
      <c r="D317" s="17"/>
      <c r="E317" s="2"/>
      <c r="F317" s="2"/>
      <c r="G317" s="2"/>
      <c r="H317" s="2"/>
      <c r="I317" s="2"/>
      <c r="J317" s="17"/>
      <c r="K317" s="1">
        <f t="shared" si="42"/>
        <v>0</v>
      </c>
      <c r="L317" s="8" t="s">
        <v>181</v>
      </c>
      <c r="M317" s="3"/>
      <c r="N317" s="10"/>
      <c r="O317" s="5" t="s">
        <v>180</v>
      </c>
      <c r="P317" s="10"/>
      <c r="Q317" s="10"/>
      <c r="R317" s="10"/>
      <c r="S317" s="10"/>
      <c r="U317" s="10"/>
      <c r="V317" s="10"/>
      <c r="W317" s="10"/>
      <c r="X317" s="18">
        <f t="shared" ca="1" si="43"/>
        <v>0</v>
      </c>
      <c r="Y317" s="18">
        <f t="shared" ca="1" si="44"/>
        <v>0</v>
      </c>
      <c r="Z317" s="18">
        <f t="shared" ca="1" si="45"/>
        <v>0</v>
      </c>
      <c r="AA317" s="18">
        <f t="shared" ca="1" si="46"/>
        <v>0</v>
      </c>
      <c r="AB317" s="18">
        <f t="shared" ca="1" si="47"/>
        <v>0</v>
      </c>
      <c r="AC317" s="18">
        <f t="shared" ca="1" si="48"/>
        <v>0</v>
      </c>
      <c r="AD317" s="18">
        <f t="shared" ca="1" si="49"/>
        <v>0</v>
      </c>
      <c r="AE317" s="10"/>
    </row>
    <row r="318" spans="1:31" ht="72" customHeight="1">
      <c r="A318" s="38" t="s">
        <v>177</v>
      </c>
      <c r="B318" s="8" t="s">
        <v>138</v>
      </c>
      <c r="C318" s="16"/>
      <c r="D318" s="17"/>
      <c r="E318" s="2"/>
      <c r="F318" s="2"/>
      <c r="G318" s="2"/>
      <c r="H318" s="2"/>
      <c r="I318" s="2"/>
      <c r="J318" s="17"/>
      <c r="K318" s="1">
        <f t="shared" si="42"/>
        <v>0</v>
      </c>
      <c r="L318" s="8" t="s">
        <v>181</v>
      </c>
      <c r="M318" s="3"/>
      <c r="N318" s="10"/>
      <c r="O318" s="5" t="s">
        <v>180</v>
      </c>
      <c r="P318" s="10"/>
      <c r="Q318" s="10"/>
      <c r="R318" s="10"/>
      <c r="S318" s="10"/>
      <c r="U318" s="10"/>
      <c r="V318" s="10"/>
      <c r="W318" s="10"/>
      <c r="X318" s="18">
        <f t="shared" ca="1" si="43"/>
        <v>0</v>
      </c>
      <c r="Y318" s="18">
        <f t="shared" ca="1" si="44"/>
        <v>0</v>
      </c>
      <c r="Z318" s="18">
        <f t="shared" ca="1" si="45"/>
        <v>0</v>
      </c>
      <c r="AA318" s="18">
        <f t="shared" ca="1" si="46"/>
        <v>0</v>
      </c>
      <c r="AB318" s="18">
        <f t="shared" ca="1" si="47"/>
        <v>0</v>
      </c>
      <c r="AC318" s="18">
        <f t="shared" ca="1" si="48"/>
        <v>0</v>
      </c>
      <c r="AD318" s="18">
        <f t="shared" ca="1" si="49"/>
        <v>0</v>
      </c>
      <c r="AE318" s="10"/>
    </row>
    <row r="319" spans="1:31" ht="72" customHeight="1">
      <c r="A319" s="38" t="s">
        <v>177</v>
      </c>
      <c r="B319" s="8" t="s">
        <v>139</v>
      </c>
      <c r="C319" s="16"/>
      <c r="D319" s="17"/>
      <c r="E319" s="2"/>
      <c r="F319" s="2"/>
      <c r="G319" s="2"/>
      <c r="H319" s="2"/>
      <c r="I319" s="2"/>
      <c r="J319" s="17"/>
      <c r="K319" s="1">
        <f t="shared" si="42"/>
        <v>0</v>
      </c>
      <c r="L319" s="8" t="s">
        <v>181</v>
      </c>
      <c r="M319" s="3"/>
      <c r="N319" s="10"/>
      <c r="O319" s="5" t="s">
        <v>180</v>
      </c>
      <c r="P319" s="10"/>
      <c r="Q319" s="10"/>
      <c r="R319" s="10"/>
      <c r="S319" s="10"/>
      <c r="U319" s="10"/>
      <c r="V319" s="10"/>
      <c r="W319" s="10"/>
      <c r="X319" s="18">
        <f t="shared" ca="1" si="43"/>
        <v>0</v>
      </c>
      <c r="Y319" s="18">
        <f t="shared" ca="1" si="44"/>
        <v>0</v>
      </c>
      <c r="Z319" s="18">
        <f t="shared" ca="1" si="45"/>
        <v>0</v>
      </c>
      <c r="AA319" s="18">
        <f t="shared" ca="1" si="46"/>
        <v>0</v>
      </c>
      <c r="AB319" s="18">
        <f t="shared" ca="1" si="47"/>
        <v>0</v>
      </c>
      <c r="AC319" s="18">
        <f t="shared" ca="1" si="48"/>
        <v>0</v>
      </c>
      <c r="AD319" s="18">
        <f t="shared" ca="1" si="49"/>
        <v>0</v>
      </c>
      <c r="AE319" s="10"/>
    </row>
    <row r="320" spans="1:31" ht="72" customHeight="1">
      <c r="A320" s="38" t="s">
        <v>177</v>
      </c>
      <c r="B320" s="8" t="s">
        <v>140</v>
      </c>
      <c r="C320" s="16"/>
      <c r="D320" s="17"/>
      <c r="E320" s="2"/>
      <c r="F320" s="2"/>
      <c r="G320" s="2"/>
      <c r="H320" s="2"/>
      <c r="I320" s="2"/>
      <c r="J320" s="17"/>
      <c r="K320" s="1">
        <f t="shared" si="42"/>
        <v>0</v>
      </c>
      <c r="L320" s="8" t="s">
        <v>181</v>
      </c>
      <c r="M320" s="3"/>
      <c r="N320" s="10"/>
      <c r="O320" s="5" t="s">
        <v>180</v>
      </c>
      <c r="P320" s="10"/>
      <c r="Q320" s="10"/>
      <c r="R320" s="10"/>
      <c r="S320" s="10"/>
      <c r="U320" s="10"/>
      <c r="V320" s="10"/>
      <c r="W320" s="10"/>
      <c r="X320" s="18">
        <f t="shared" ca="1" si="43"/>
        <v>0</v>
      </c>
      <c r="Y320" s="18">
        <f t="shared" ca="1" si="44"/>
        <v>0</v>
      </c>
      <c r="Z320" s="18">
        <f t="shared" ca="1" si="45"/>
        <v>0</v>
      </c>
      <c r="AA320" s="18">
        <f t="shared" ca="1" si="46"/>
        <v>0</v>
      </c>
      <c r="AB320" s="18">
        <f t="shared" ca="1" si="47"/>
        <v>0</v>
      </c>
      <c r="AC320" s="18">
        <f t="shared" ca="1" si="48"/>
        <v>0</v>
      </c>
      <c r="AD320" s="18">
        <f t="shared" ca="1" si="49"/>
        <v>0</v>
      </c>
      <c r="AE320" s="10"/>
    </row>
    <row r="321" spans="1:31" ht="72" customHeight="1">
      <c r="A321" s="38" t="s">
        <v>177</v>
      </c>
      <c r="B321" s="8" t="s">
        <v>178</v>
      </c>
      <c r="C321" s="16"/>
      <c r="D321" s="17"/>
      <c r="E321" s="2"/>
      <c r="F321" s="2"/>
      <c r="G321" s="2"/>
      <c r="H321" s="2"/>
      <c r="I321" s="2"/>
      <c r="J321" s="17"/>
      <c r="K321" s="1">
        <f t="shared" si="42"/>
        <v>0</v>
      </c>
      <c r="L321" s="8" t="s">
        <v>181</v>
      </c>
      <c r="M321" s="3"/>
      <c r="N321" s="10"/>
      <c r="O321" s="5" t="s">
        <v>180</v>
      </c>
      <c r="P321" s="10"/>
      <c r="Q321" s="10"/>
      <c r="R321" s="10"/>
      <c r="S321" s="10"/>
      <c r="U321" s="10"/>
      <c r="V321" s="10"/>
      <c r="W321" s="10"/>
      <c r="X321" s="18">
        <f t="shared" ca="1" si="43"/>
        <v>0</v>
      </c>
      <c r="Y321" s="18">
        <f t="shared" ca="1" si="44"/>
        <v>0</v>
      </c>
      <c r="Z321" s="18">
        <f t="shared" ca="1" si="45"/>
        <v>0</v>
      </c>
      <c r="AA321" s="18">
        <f t="shared" ca="1" si="46"/>
        <v>0</v>
      </c>
      <c r="AB321" s="18">
        <f t="shared" ca="1" si="47"/>
        <v>0</v>
      </c>
      <c r="AC321" s="18">
        <f t="shared" ca="1" si="48"/>
        <v>0</v>
      </c>
      <c r="AD321" s="18">
        <f t="shared" ca="1" si="49"/>
        <v>0</v>
      </c>
      <c r="AE321" s="10"/>
    </row>
    <row r="322" spans="1:31">
      <c r="A322" s="6"/>
      <c r="B322" s="7" t="s">
        <v>5</v>
      </c>
      <c r="C322" s="4"/>
      <c r="D322" s="19">
        <f>SUM(D11:D321)</f>
        <v>0</v>
      </c>
      <c r="E322" s="1">
        <f>SUM(E11:E321)</f>
        <v>5</v>
      </c>
      <c r="F322" s="1">
        <f t="shared" ref="F322:I322" si="50">SUM(F11:F321)</f>
        <v>0</v>
      </c>
      <c r="G322" s="1">
        <f t="shared" si="50"/>
        <v>0</v>
      </c>
      <c r="H322" s="1">
        <f t="shared" si="50"/>
        <v>0</v>
      </c>
      <c r="I322" s="1">
        <f t="shared" si="50"/>
        <v>0</v>
      </c>
      <c r="J322" s="19">
        <f>SUM(J11:J321)</f>
        <v>0</v>
      </c>
      <c r="K322" s="1">
        <f>SUM(K11:K321)</f>
        <v>5</v>
      </c>
      <c r="L322" s="5"/>
      <c r="M322" s="2"/>
      <c r="O322" s="27"/>
    </row>
    <row r="323" spans="1:31">
      <c r="L323" s="20" t="s">
        <v>8</v>
      </c>
    </row>
    <row r="324" spans="1:31">
      <c r="A324" s="10" t="s">
        <v>9</v>
      </c>
      <c r="B324" s="10">
        <f>COUNTIF(D120:J321,"&gt;0")</f>
        <v>1</v>
      </c>
      <c r="L324" s="21" t="s">
        <v>10</v>
      </c>
    </row>
    <row r="325" spans="1:31">
      <c r="A325" s="10" t="s">
        <v>11</v>
      </c>
      <c r="B325" s="10">
        <f>COUNTIF(B120:B321,"&lt;&gt;")</f>
        <v>202</v>
      </c>
      <c r="L325" s="21" t="s">
        <v>12</v>
      </c>
    </row>
    <row r="326" spans="1:31">
      <c r="A326" s="10" t="s">
        <v>13</v>
      </c>
      <c r="B326" s="10" cm="1">
        <f t="array" ref="B326">IF(B325-SUM(COUNTIF('Project List'!A:A,B120:B321))&lt;0,0,B325-SUM(COUNTIF('Project List'!A:A,B120:B321)))</f>
        <v>202</v>
      </c>
      <c r="L326" s="21" t="s">
        <v>14</v>
      </c>
    </row>
    <row r="327" spans="1:31">
      <c r="A327" s="10" t="s">
        <v>15</v>
      </c>
      <c r="B327" s="30"/>
      <c r="C327" s="21"/>
      <c r="L327" s="21" t="s">
        <v>16</v>
      </c>
    </row>
    <row r="328" spans="1:31" ht="15.75" customHeight="1">
      <c r="A328"/>
      <c r="B328" s="22"/>
      <c r="C328" s="23"/>
      <c r="D328" s="10"/>
      <c r="E328" s="10"/>
      <c r="F328" s="10"/>
      <c r="G328" s="10"/>
      <c r="H328" s="10"/>
      <c r="I328" s="10"/>
      <c r="J328" s="10"/>
      <c r="K328" s="10"/>
      <c r="L328" s="21" t="s">
        <v>17</v>
      </c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</row>
    <row r="329" spans="1:31" ht="15.75" customHeight="1">
      <c r="A329"/>
      <c r="B329" s="22"/>
      <c r="C329" s="23"/>
      <c r="D329" s="10"/>
      <c r="E329" s="10"/>
      <c r="F329" s="10"/>
      <c r="G329" s="10"/>
      <c r="H329" s="10"/>
      <c r="I329" s="10"/>
      <c r="J329" s="10"/>
      <c r="K329" s="10"/>
      <c r="L329" s="21" t="s">
        <v>18</v>
      </c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</row>
    <row r="330" spans="1:31">
      <c r="L330" s="10"/>
    </row>
    <row r="331" spans="1:31">
      <c r="L331" s="10"/>
    </row>
    <row r="332" spans="1:31">
      <c r="L332" s="10"/>
    </row>
    <row r="333" spans="1:31">
      <c r="L333" s="10"/>
    </row>
    <row r="334" spans="1:31">
      <c r="L334" s="10"/>
    </row>
    <row r="335" spans="1:31">
      <c r="L335" s="10"/>
    </row>
    <row r="336" spans="1:31">
      <c r="L336" s="10"/>
    </row>
    <row r="337" spans="12:12">
      <c r="L337" s="10"/>
    </row>
    <row r="338" spans="12:12">
      <c r="L338" s="10"/>
    </row>
    <row r="339" spans="12:12">
      <c r="L339" s="10"/>
    </row>
    <row r="340" spans="12:12">
      <c r="L340" s="10"/>
    </row>
    <row r="341" spans="12:12">
      <c r="L341" s="10"/>
    </row>
    <row r="342" spans="12:12">
      <c r="L342" s="10"/>
    </row>
    <row r="343" spans="12:12">
      <c r="L343" s="10"/>
    </row>
    <row r="344" spans="12:12">
      <c r="L344" s="10"/>
    </row>
    <row r="345" spans="12:12">
      <c r="L345" s="10"/>
    </row>
    <row r="346" spans="12:12">
      <c r="L346" s="10"/>
    </row>
    <row r="347" spans="12:12">
      <c r="L347" s="10"/>
    </row>
    <row r="348" spans="12:12">
      <c r="L348" s="10"/>
    </row>
    <row r="349" spans="12:12">
      <c r="L349" s="10"/>
    </row>
    <row r="350" spans="12:12">
      <c r="L350" s="10"/>
    </row>
    <row r="351" spans="12:12">
      <c r="L351" s="10"/>
    </row>
    <row r="352" spans="12:12">
      <c r="L352" s="10"/>
    </row>
    <row r="353" spans="12:12">
      <c r="L353" s="10"/>
    </row>
    <row r="354" spans="12:12">
      <c r="L354" s="10"/>
    </row>
    <row r="355" spans="12:12">
      <c r="L355" s="10"/>
    </row>
    <row r="356" spans="12:12">
      <c r="L356" s="10"/>
    </row>
  </sheetData>
  <autoFilter ref="A10:M329" xr:uid="{00000000-0001-0000-0000-000000000000}"/>
  <dataConsolidate/>
  <mergeCells count="7">
    <mergeCell ref="D6:D7"/>
    <mergeCell ref="X10:AD10"/>
    <mergeCell ref="E2:G2"/>
    <mergeCell ref="E4:G4"/>
    <mergeCell ref="E5:G5"/>
    <mergeCell ref="E6:J7"/>
    <mergeCell ref="E3:G3"/>
  </mergeCells>
  <conditionalFormatting sqref="B3">
    <cfRule type="containsText" dxfId="2" priority="15" operator="containsText" text="NOT">
      <formula>NOT(ISERROR(SEARCH("NOT",B3)))</formula>
    </cfRule>
  </conditionalFormatting>
  <conditionalFormatting sqref="H4">
    <cfRule type="expression" dxfId="1" priority="1">
      <formula>$E$4&lt;&gt;"Check Date!"</formula>
    </cfRule>
    <cfRule type="cellIs" dxfId="0" priority="2" operator="equal">
      <formula>"Check Date!"</formula>
    </cfRule>
  </conditionalFormatting>
  <dataValidations count="1">
    <dataValidation type="list" allowBlank="1" showInputMessage="1" showErrorMessage="1" sqref="E2:G2 A120:A321" xr:uid="{388CC2F7-DE7E-45DF-887A-96F931098432}">
      <formula1>Projects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6F54CC-14C2-4265-8F1D-D34196A82EC8}">
          <x14:formula1>
            <xm:f>_xlfn.ANCHORARRAY(Options!$Q$2)</xm:f>
          </x14:formula1>
          <xm:sqref>E3:G3</xm:sqref>
        </x14:dataValidation>
        <x14:dataValidation type="list" allowBlank="1" showInputMessage="1" showErrorMessage="1" xr:uid="{4117FF2E-A134-4467-BAA2-15077FB47A8B}">
          <x14:formula1>
            <xm:f>IF(LEFT(A120,LEN("Non-Chargeable"))="Non-Chargeable",INDIRECT(SUBSTITUTE(SUBSTITUTE(A120,"-","_")," ","_")),Options!$G$2:$G$22)</xm:f>
          </x14:formula1>
          <xm:sqref>B120:B321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CA17B-E023-4359-A6AA-8E48623DF4BE}">
  <sheetPr codeName="Sheet5"/>
  <dimension ref="A3:C21"/>
  <sheetViews>
    <sheetView workbookViewId="0">
      <selection activeCell="A13" sqref="A13"/>
    </sheetView>
  </sheetViews>
  <sheetFormatPr defaultRowHeight="15"/>
  <cols>
    <col min="1" max="1" width="143.28515625" bestFit="1" customWidth="1"/>
    <col min="2" max="2" width="12" bestFit="1" customWidth="1"/>
    <col min="3" max="3" width="13.140625" bestFit="1" customWidth="1"/>
  </cols>
  <sheetData>
    <row r="3" spans="1:3">
      <c r="A3" s="28" t="s">
        <v>47</v>
      </c>
      <c r="B3" t="s">
        <v>166</v>
      </c>
      <c r="C3" t="s">
        <v>167</v>
      </c>
    </row>
    <row r="4" spans="1:3">
      <c r="A4" s="29" t="s">
        <v>116</v>
      </c>
      <c r="B4">
        <v>0</v>
      </c>
      <c r="C4" s="41">
        <v>0</v>
      </c>
    </row>
    <row r="5" spans="1:3">
      <c r="A5" s="29" t="s">
        <v>60</v>
      </c>
      <c r="B5">
        <v>0.5</v>
      </c>
      <c r="C5" s="41">
        <v>1.3333333333333334E-2</v>
      </c>
    </row>
    <row r="6" spans="1:3">
      <c r="A6" s="29" t="s">
        <v>61</v>
      </c>
      <c r="B6">
        <v>0</v>
      </c>
      <c r="C6" s="41">
        <v>0</v>
      </c>
    </row>
    <row r="7" spans="1:3">
      <c r="A7" s="29" t="s">
        <v>62</v>
      </c>
      <c r="B7">
        <v>8</v>
      </c>
      <c r="C7" s="41">
        <v>0.21333333333333335</v>
      </c>
    </row>
    <row r="8" spans="1:3">
      <c r="A8" s="29" t="s">
        <v>63</v>
      </c>
      <c r="B8">
        <v>0</v>
      </c>
      <c r="C8" s="41">
        <v>0</v>
      </c>
    </row>
    <row r="9" spans="1:3">
      <c r="A9" s="29" t="s">
        <v>64</v>
      </c>
      <c r="B9">
        <v>0</v>
      </c>
      <c r="C9" s="41">
        <v>0</v>
      </c>
    </row>
    <row r="10" spans="1:3">
      <c r="A10" s="29" t="s">
        <v>112</v>
      </c>
      <c r="B10">
        <v>0</v>
      </c>
      <c r="C10" s="41">
        <v>0</v>
      </c>
    </row>
    <row r="11" spans="1:3">
      <c r="A11" s="29" t="s">
        <v>110</v>
      </c>
      <c r="B11">
        <v>0</v>
      </c>
      <c r="C11" s="41">
        <v>0</v>
      </c>
    </row>
    <row r="12" spans="1:3">
      <c r="A12" s="29" t="s">
        <v>111</v>
      </c>
      <c r="B12">
        <v>0</v>
      </c>
      <c r="C12" s="41">
        <v>0</v>
      </c>
    </row>
    <row r="13" spans="1:3">
      <c r="A13" s="29" t="s">
        <v>114</v>
      </c>
      <c r="B13">
        <v>0</v>
      </c>
      <c r="C13" s="41">
        <v>0</v>
      </c>
    </row>
    <row r="14" spans="1:3">
      <c r="A14" s="29" t="s">
        <v>76</v>
      </c>
      <c r="B14">
        <v>0</v>
      </c>
      <c r="C14" s="41">
        <v>0</v>
      </c>
    </row>
    <row r="15" spans="1:3">
      <c r="A15" s="29" t="s">
        <v>113</v>
      </c>
      <c r="B15">
        <v>10</v>
      </c>
      <c r="C15" s="41">
        <v>0.26666666666666666</v>
      </c>
    </row>
    <row r="16" spans="1:3">
      <c r="A16" s="29" t="s">
        <v>115</v>
      </c>
      <c r="B16">
        <v>0</v>
      </c>
      <c r="C16" s="41">
        <v>0</v>
      </c>
    </row>
    <row r="17" spans="1:3">
      <c r="A17" s="29" t="s">
        <v>168</v>
      </c>
      <c r="B17">
        <v>0</v>
      </c>
      <c r="C17" s="41">
        <v>0</v>
      </c>
    </row>
    <row r="18" spans="1:3">
      <c r="A18" s="29" t="s">
        <v>175</v>
      </c>
      <c r="B18">
        <v>0</v>
      </c>
      <c r="C18" s="41">
        <v>0</v>
      </c>
    </row>
    <row r="19" spans="1:3">
      <c r="A19" s="29" t="s">
        <v>173</v>
      </c>
      <c r="B19">
        <v>0</v>
      </c>
      <c r="C19" s="41">
        <v>0</v>
      </c>
    </row>
    <row r="20" spans="1:3">
      <c r="A20" s="29" t="s">
        <v>177</v>
      </c>
      <c r="B20">
        <v>19</v>
      </c>
      <c r="C20" s="41">
        <v>0.50666666666666671</v>
      </c>
    </row>
    <row r="21" spans="1:3">
      <c r="A21" s="29" t="s">
        <v>48</v>
      </c>
      <c r="B21">
        <v>37.5</v>
      </c>
      <c r="C21" s="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8AA0-8CA9-4622-B9CD-3C891043B6B2}">
  <sheetPr codeName="Sheet3"/>
  <dimension ref="A1:A19"/>
  <sheetViews>
    <sheetView workbookViewId="0">
      <selection activeCell="A19" sqref="A19"/>
    </sheetView>
  </sheetViews>
  <sheetFormatPr defaultRowHeight="15"/>
  <cols>
    <col min="1" max="1" width="125.28515625" customWidth="1"/>
  </cols>
  <sheetData>
    <row r="1" spans="1:1">
      <c r="A1" s="25" t="s">
        <v>75</v>
      </c>
    </row>
    <row r="2" spans="1:1">
      <c r="A2" t="s">
        <v>113</v>
      </c>
    </row>
    <row r="3" spans="1:1">
      <c r="A3" t="s">
        <v>115</v>
      </c>
    </row>
    <row r="4" spans="1:1">
      <c r="A4" t="s">
        <v>116</v>
      </c>
    </row>
    <row r="5" spans="1:1">
      <c r="A5" t="s">
        <v>168</v>
      </c>
    </row>
    <row r="6" spans="1:1">
      <c r="A6" t="s">
        <v>28</v>
      </c>
    </row>
    <row r="7" spans="1:1">
      <c r="A7" t="s">
        <v>110</v>
      </c>
    </row>
    <row r="8" spans="1:1">
      <c r="A8" t="s">
        <v>114</v>
      </c>
    </row>
    <row r="9" spans="1:1">
      <c r="A9" t="s">
        <v>111</v>
      </c>
    </row>
    <row r="10" spans="1:1">
      <c r="A10" t="s">
        <v>112</v>
      </c>
    </row>
    <row r="11" spans="1:1">
      <c r="A11" t="s">
        <v>175</v>
      </c>
    </row>
    <row r="12" spans="1:1">
      <c r="A12" t="s">
        <v>173</v>
      </c>
    </row>
    <row r="13" spans="1:1">
      <c r="A13" t="s">
        <v>76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63</v>
      </c>
    </row>
    <row r="18" spans="1:1">
      <c r="A18" t="s">
        <v>64</v>
      </c>
    </row>
    <row r="19" spans="1:1">
      <c r="A19" t="s">
        <v>177</v>
      </c>
    </row>
  </sheetData>
  <autoFilter ref="A1:A6" xr:uid="{8D478AA0-8CA9-4622-B9CD-3C891043B6B2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84C2D-76DE-4A45-8D66-F47BEF8F32A2}">
  <sheetPr codeName="Sheet4"/>
  <dimension ref="A1:C86"/>
  <sheetViews>
    <sheetView topLeftCell="A25" workbookViewId="0">
      <selection activeCell="C65" activeCellId="1" sqref="C67 C65"/>
    </sheetView>
  </sheetViews>
  <sheetFormatPr defaultRowHeight="15"/>
  <cols>
    <col min="1" max="1" width="20.28515625" bestFit="1" customWidth="1"/>
    <col min="2" max="2" width="86.28515625" bestFit="1" customWidth="1"/>
    <col min="3" max="3" width="63.140625" bestFit="1" customWidth="1"/>
  </cols>
  <sheetData>
    <row r="1" spans="1:3">
      <c r="A1" t="s">
        <v>19</v>
      </c>
      <c r="B1" t="s">
        <v>54</v>
      </c>
      <c r="C1" t="s">
        <v>58</v>
      </c>
    </row>
    <row r="2" spans="1:3">
      <c r="A2" t="s">
        <v>79</v>
      </c>
      <c r="B2" t="s">
        <v>28</v>
      </c>
    </row>
    <row r="3" spans="1:3">
      <c r="A3" t="s">
        <v>80</v>
      </c>
      <c r="B3" t="s">
        <v>28</v>
      </c>
    </row>
    <row r="4" spans="1:3">
      <c r="A4" t="s">
        <v>81</v>
      </c>
      <c r="B4" t="s">
        <v>28</v>
      </c>
    </row>
    <row r="5" spans="1:3">
      <c r="A5" t="s">
        <v>20</v>
      </c>
      <c r="B5" t="s">
        <v>112</v>
      </c>
    </row>
    <row r="6" spans="1:3">
      <c r="A6" t="s">
        <v>21</v>
      </c>
      <c r="B6" t="s">
        <v>60</v>
      </c>
    </row>
    <row r="7" spans="1:3">
      <c r="A7" t="s">
        <v>43</v>
      </c>
      <c r="B7" s="40" t="s">
        <v>60</v>
      </c>
    </row>
    <row r="8" spans="1:3">
      <c r="A8" t="s">
        <v>22</v>
      </c>
      <c r="B8" t="s">
        <v>111</v>
      </c>
    </row>
    <row r="9" spans="1:3">
      <c r="A9" t="s">
        <v>170</v>
      </c>
      <c r="B9" t="s">
        <v>113</v>
      </c>
    </row>
    <row r="10" spans="1:3">
      <c r="A10" t="s">
        <v>23</v>
      </c>
      <c r="B10" t="s">
        <v>110</v>
      </c>
    </row>
    <row r="11" spans="1:3">
      <c r="A11" t="s">
        <v>169</v>
      </c>
      <c r="B11" t="s">
        <v>168</v>
      </c>
    </row>
    <row r="12" spans="1:3">
      <c r="A12" t="s">
        <v>82</v>
      </c>
      <c r="B12" s="40" t="s">
        <v>60</v>
      </c>
    </row>
    <row r="13" spans="1:3">
      <c r="A13" t="s">
        <v>84</v>
      </c>
      <c r="B13" s="40" t="s">
        <v>114</v>
      </c>
    </row>
    <row r="14" spans="1:3">
      <c r="A14" t="s">
        <v>41</v>
      </c>
      <c r="B14" s="40" t="s">
        <v>60</v>
      </c>
    </row>
    <row r="15" spans="1:3">
      <c r="A15" t="s">
        <v>85</v>
      </c>
      <c r="B15" s="40" t="s">
        <v>116</v>
      </c>
    </row>
    <row r="16" spans="1:3">
      <c r="A16" t="s">
        <v>24</v>
      </c>
      <c r="B16" t="s">
        <v>113</v>
      </c>
    </row>
    <row r="17" spans="1:3">
      <c r="A17" t="s">
        <v>86</v>
      </c>
      <c r="B17" s="40" t="s">
        <v>111</v>
      </c>
    </row>
    <row r="18" spans="1:3">
      <c r="A18" t="s">
        <v>25</v>
      </c>
      <c r="B18" t="s">
        <v>115</v>
      </c>
    </row>
    <row r="19" spans="1:3">
      <c r="A19" t="s">
        <v>179</v>
      </c>
      <c r="B19" t="s">
        <v>177</v>
      </c>
    </row>
    <row r="20" spans="1:3">
      <c r="A20" t="s">
        <v>26</v>
      </c>
      <c r="B20" t="s">
        <v>60</v>
      </c>
    </row>
    <row r="21" spans="1:3">
      <c r="A21" t="s">
        <v>31</v>
      </c>
      <c r="B21" t="s">
        <v>60</v>
      </c>
    </row>
    <row r="22" spans="1:3">
      <c r="A22" t="s">
        <v>87</v>
      </c>
      <c r="B22" s="1" t="s">
        <v>28</v>
      </c>
    </row>
    <row r="23" spans="1:3">
      <c r="A23" t="s">
        <v>88</v>
      </c>
      <c r="B23" t="s">
        <v>28</v>
      </c>
    </row>
    <row r="24" spans="1:3">
      <c r="A24" t="s">
        <v>37</v>
      </c>
      <c r="B24" s="1" t="s">
        <v>28</v>
      </c>
    </row>
    <row r="25" spans="1:3">
      <c r="A25" t="s">
        <v>89</v>
      </c>
      <c r="B25" t="s">
        <v>28</v>
      </c>
    </row>
    <row r="26" spans="1:3">
      <c r="A26" t="s">
        <v>27</v>
      </c>
      <c r="B26" t="s">
        <v>28</v>
      </c>
    </row>
    <row r="27" spans="1:3">
      <c r="A27" t="s">
        <v>90</v>
      </c>
      <c r="B27" t="s">
        <v>28</v>
      </c>
    </row>
    <row r="28" spans="1:3">
      <c r="A28" t="s">
        <v>29</v>
      </c>
      <c r="B28" t="s">
        <v>28</v>
      </c>
    </row>
    <row r="29" spans="1:3">
      <c r="A29" t="s">
        <v>91</v>
      </c>
      <c r="B29" s="1" t="s">
        <v>28</v>
      </c>
    </row>
    <row r="30" spans="1:3">
      <c r="A30" t="s">
        <v>45</v>
      </c>
      <c r="B30" s="1" t="s">
        <v>28</v>
      </c>
    </row>
    <row r="31" spans="1:3">
      <c r="A31" t="s">
        <v>33</v>
      </c>
      <c r="B31" s="1" t="s">
        <v>60</v>
      </c>
      <c r="C31" t="s">
        <v>65</v>
      </c>
    </row>
    <row r="32" spans="1:3">
      <c r="A32" t="s">
        <v>38</v>
      </c>
      <c r="B32" s="1" t="s">
        <v>28</v>
      </c>
    </row>
    <row r="33" spans="1:3">
      <c r="A33" t="s">
        <v>30</v>
      </c>
      <c r="B33" t="s">
        <v>60</v>
      </c>
      <c r="C33" t="s">
        <v>65</v>
      </c>
    </row>
    <row r="34" spans="1:3">
      <c r="A34" t="s">
        <v>92</v>
      </c>
      <c r="B34" t="s">
        <v>28</v>
      </c>
    </row>
    <row r="35" spans="1:3">
      <c r="A35" t="s">
        <v>93</v>
      </c>
      <c r="B35" t="s">
        <v>28</v>
      </c>
    </row>
    <row r="36" spans="1:3">
      <c r="A36" t="s">
        <v>39</v>
      </c>
      <c r="B36" t="s">
        <v>62</v>
      </c>
      <c r="C36" t="s">
        <v>73</v>
      </c>
    </row>
    <row r="37" spans="1:3">
      <c r="A37" t="s">
        <v>174</v>
      </c>
      <c r="B37" t="s">
        <v>62</v>
      </c>
      <c r="C37" t="s">
        <v>70</v>
      </c>
    </row>
    <row r="38" spans="1:3">
      <c r="A38" t="s">
        <v>141</v>
      </c>
      <c r="B38" t="s">
        <v>62</v>
      </c>
      <c r="C38" t="s">
        <v>69</v>
      </c>
    </row>
    <row r="39" spans="1:3">
      <c r="A39" t="s">
        <v>172</v>
      </c>
      <c r="B39" t="s">
        <v>62</v>
      </c>
      <c r="C39" t="s">
        <v>171</v>
      </c>
    </row>
    <row r="40" spans="1:3">
      <c r="A40" t="s">
        <v>36</v>
      </c>
      <c r="B40" t="s">
        <v>177</v>
      </c>
    </row>
    <row r="41" spans="1:3">
      <c r="A41" t="s">
        <v>44</v>
      </c>
      <c r="B41" t="s">
        <v>60</v>
      </c>
      <c r="C41" t="s">
        <v>65</v>
      </c>
    </row>
    <row r="42" spans="1:3">
      <c r="A42" t="s">
        <v>32</v>
      </c>
      <c r="B42" t="s">
        <v>64</v>
      </c>
      <c r="C42" t="s">
        <v>68</v>
      </c>
    </row>
    <row r="43" spans="1:3">
      <c r="A43" t="s">
        <v>176</v>
      </c>
      <c r="B43" t="s">
        <v>177</v>
      </c>
      <c r="C43" t="s">
        <v>178</v>
      </c>
    </row>
    <row r="44" spans="1:3">
      <c r="A44" t="s">
        <v>42</v>
      </c>
      <c r="B44" t="s">
        <v>28</v>
      </c>
    </row>
    <row r="45" spans="1:3">
      <c r="A45" t="s">
        <v>142</v>
      </c>
      <c r="C45" t="s">
        <v>117</v>
      </c>
    </row>
    <row r="46" spans="1:3">
      <c r="A46" t="s">
        <v>143</v>
      </c>
      <c r="C46" t="s">
        <v>118</v>
      </c>
    </row>
    <row r="47" spans="1:3">
      <c r="A47" t="s">
        <v>144</v>
      </c>
      <c r="C47" t="s">
        <v>119</v>
      </c>
    </row>
    <row r="48" spans="1:3">
      <c r="A48" t="s">
        <v>145</v>
      </c>
      <c r="C48" t="s">
        <v>120</v>
      </c>
    </row>
    <row r="49" spans="1:3">
      <c r="A49" t="s">
        <v>146</v>
      </c>
      <c r="C49" t="s">
        <v>121</v>
      </c>
    </row>
    <row r="50" spans="1:3">
      <c r="A50" t="s">
        <v>147</v>
      </c>
      <c r="C50" t="s">
        <v>122</v>
      </c>
    </row>
    <row r="51" spans="1:3">
      <c r="A51" t="s">
        <v>148</v>
      </c>
      <c r="C51" t="s">
        <v>123</v>
      </c>
    </row>
    <row r="52" spans="1:3">
      <c r="A52" t="s">
        <v>149</v>
      </c>
      <c r="C52" t="s">
        <v>124</v>
      </c>
    </row>
    <row r="53" spans="1:3">
      <c r="A53" t="s">
        <v>150</v>
      </c>
      <c r="C53" t="s">
        <v>125</v>
      </c>
    </row>
    <row r="54" spans="1:3">
      <c r="A54" t="s">
        <v>151</v>
      </c>
      <c r="C54" t="s">
        <v>126</v>
      </c>
    </row>
    <row r="55" spans="1:3">
      <c r="A55" t="s">
        <v>152</v>
      </c>
      <c r="C55" t="s">
        <v>127</v>
      </c>
    </row>
    <row r="56" spans="1:3">
      <c r="A56" t="s">
        <v>153</v>
      </c>
      <c r="C56" t="s">
        <v>128</v>
      </c>
    </row>
    <row r="57" spans="1:3">
      <c r="A57" t="s">
        <v>154</v>
      </c>
      <c r="C57" t="s">
        <v>129</v>
      </c>
    </row>
    <row r="58" spans="1:3">
      <c r="A58" t="s">
        <v>155</v>
      </c>
      <c r="C58" t="s">
        <v>130</v>
      </c>
    </row>
    <row r="59" spans="1:3">
      <c r="A59" t="s">
        <v>156</v>
      </c>
      <c r="C59" t="s">
        <v>131</v>
      </c>
    </row>
    <row r="60" spans="1:3">
      <c r="A60" t="s">
        <v>157</v>
      </c>
      <c r="C60" t="s">
        <v>132</v>
      </c>
    </row>
    <row r="61" spans="1:3">
      <c r="A61" t="s">
        <v>158</v>
      </c>
      <c r="C61" t="s">
        <v>133</v>
      </c>
    </row>
    <row r="62" spans="1:3">
      <c r="A62" t="s">
        <v>159</v>
      </c>
      <c r="C62" t="s">
        <v>134</v>
      </c>
    </row>
    <row r="63" spans="1:3">
      <c r="A63" t="s">
        <v>160</v>
      </c>
      <c r="C63" t="s">
        <v>135</v>
      </c>
    </row>
    <row r="64" spans="1:3">
      <c r="A64" t="s">
        <v>161</v>
      </c>
      <c r="C64" t="s">
        <v>136</v>
      </c>
    </row>
    <row r="65" spans="1:3">
      <c r="A65" t="s">
        <v>162</v>
      </c>
      <c r="C65" t="s">
        <v>137</v>
      </c>
    </row>
    <row r="66" spans="1:3">
      <c r="A66" t="s">
        <v>163</v>
      </c>
      <c r="C66" t="s">
        <v>138</v>
      </c>
    </row>
    <row r="67" spans="1:3">
      <c r="A67" t="s">
        <v>164</v>
      </c>
      <c r="C67" t="s">
        <v>139</v>
      </c>
    </row>
    <row r="68" spans="1:3">
      <c r="A68" t="s">
        <v>165</v>
      </c>
      <c r="C68" t="s">
        <v>140</v>
      </c>
    </row>
    <row r="69" spans="1:3">
      <c r="A69" t="s">
        <v>94</v>
      </c>
      <c r="C69" t="s">
        <v>117</v>
      </c>
    </row>
    <row r="70" spans="1:3">
      <c r="A70" t="s">
        <v>95</v>
      </c>
      <c r="C70" t="s">
        <v>128</v>
      </c>
    </row>
    <row r="71" spans="1:3">
      <c r="A71" t="s">
        <v>96</v>
      </c>
      <c r="C71" t="s">
        <v>130</v>
      </c>
    </row>
    <row r="72" spans="1:3">
      <c r="A72" t="s">
        <v>97</v>
      </c>
      <c r="C72" t="s">
        <v>128</v>
      </c>
    </row>
    <row r="73" spans="1:3">
      <c r="A73" t="s">
        <v>98</v>
      </c>
      <c r="C73" t="s">
        <v>132</v>
      </c>
    </row>
    <row r="74" spans="1:3">
      <c r="A74" t="s">
        <v>99</v>
      </c>
      <c r="C74" t="s">
        <v>126</v>
      </c>
    </row>
    <row r="75" spans="1:3">
      <c r="A75" t="s">
        <v>100</v>
      </c>
      <c r="C75" t="s">
        <v>121</v>
      </c>
    </row>
    <row r="76" spans="1:3">
      <c r="A76" t="s">
        <v>101</v>
      </c>
      <c r="C76" t="s">
        <v>124</v>
      </c>
    </row>
    <row r="77" spans="1:3">
      <c r="A77" t="s">
        <v>102</v>
      </c>
      <c r="C77" t="s">
        <v>127</v>
      </c>
    </row>
    <row r="78" spans="1:3">
      <c r="A78" t="s">
        <v>103</v>
      </c>
      <c r="C78" t="s">
        <v>138</v>
      </c>
    </row>
    <row r="79" spans="1:3">
      <c r="A79" t="s">
        <v>104</v>
      </c>
      <c r="C79" t="s">
        <v>137</v>
      </c>
    </row>
    <row r="80" spans="1:3">
      <c r="A80" t="s">
        <v>105</v>
      </c>
      <c r="C80" t="s">
        <v>138</v>
      </c>
    </row>
    <row r="81" spans="1:3">
      <c r="A81" t="s">
        <v>106</v>
      </c>
      <c r="C81" t="s">
        <v>138</v>
      </c>
    </row>
    <row r="82" spans="1:3">
      <c r="A82" t="s">
        <v>107</v>
      </c>
      <c r="C82" t="s">
        <v>139</v>
      </c>
    </row>
    <row r="83" spans="1:3">
      <c r="A83" t="s">
        <v>35</v>
      </c>
      <c r="B83" t="s">
        <v>28</v>
      </c>
    </row>
    <row r="84" spans="1:3">
      <c r="A84" t="s">
        <v>34</v>
      </c>
      <c r="B84" t="s">
        <v>28</v>
      </c>
    </row>
    <row r="85" spans="1:3">
      <c r="A85" t="s">
        <v>108</v>
      </c>
      <c r="B85" t="s">
        <v>28</v>
      </c>
    </row>
    <row r="86" spans="1:3">
      <c r="A86" t="s">
        <v>40</v>
      </c>
      <c r="B86" t="s">
        <v>28</v>
      </c>
    </row>
  </sheetData>
  <autoFilter ref="A1:C55" xr:uid="{5E184C2D-76DE-4A45-8D66-F47BEF8F32A2}">
    <sortState xmlns:xlrd2="http://schemas.microsoft.com/office/spreadsheetml/2017/richdata2" ref="A2:C86">
      <sortCondition ref="A1:A55"/>
    </sortState>
  </autoFilter>
  <sortState xmlns:xlrd2="http://schemas.microsoft.com/office/spreadsheetml/2017/richdata2" ref="A1:A5">
    <sortCondition ref="A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55ED6C-FF2F-421A-B7F2-F06F9C474D31}">
          <x14:formula1>
            <xm:f>'Project List'!#REF!</xm:f>
          </x14:formula1>
          <xm:sqref>D2:D5</xm:sqref>
        </x14:dataValidation>
        <x14:dataValidation type="list" allowBlank="1" showInputMessage="1" showErrorMessage="1" xr:uid="{87DDA290-C407-4F1B-AB66-5130438833E0}">
          <x14:formula1>
            <xm:f>'Project List'!$A:$A</xm:f>
          </x14:formula1>
          <xm:sqref>B1:B1048576</xm:sqref>
        </x14:dataValidation>
        <x14:dataValidation type="list" allowBlank="1" showInputMessage="1" showErrorMessage="1" xr:uid="{791137A5-0460-428C-82B2-73AD55F1787E}">
          <x14:formula1>
            <xm:f>IF(LEFT(B1,LEN("Non-Chargeable"))="Non-Chargeable",Options!$J$1:$J$12,Options!$G$2:$G$26)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B697-587A-44BC-BAAA-76DB5EA02430}">
  <sheetPr codeName="Sheet6"/>
  <dimension ref="A1:U67"/>
  <sheetViews>
    <sheetView tabSelected="1" topLeftCell="E1" workbookViewId="0">
      <selection activeCell="J12" sqref="J12"/>
    </sheetView>
  </sheetViews>
  <sheetFormatPr defaultRowHeight="15"/>
  <cols>
    <col min="1" max="1" width="19.5703125" bestFit="1" customWidth="1"/>
    <col min="4" max="4" width="29.7109375" bestFit="1" customWidth="1"/>
    <col min="7" max="7" width="60.140625" bestFit="1" customWidth="1"/>
    <col min="9" max="9" width="41" bestFit="1" customWidth="1"/>
    <col min="13" max="13" width="67" bestFit="1" customWidth="1"/>
    <col min="17" max="17" width="18.85546875" bestFit="1" customWidth="1"/>
    <col min="21" max="21" width="18.5703125" bestFit="1" customWidth="1"/>
  </cols>
  <sheetData>
    <row r="1" spans="1:21">
      <c r="A1" s="11" t="s">
        <v>3</v>
      </c>
      <c r="B1" s="11" t="s">
        <v>50</v>
      </c>
      <c r="D1" s="10"/>
      <c r="F1" t="s">
        <v>59</v>
      </c>
      <c r="G1" t="s">
        <v>58</v>
      </c>
      <c r="I1" t="s">
        <v>54</v>
      </c>
      <c r="J1" t="s">
        <v>53</v>
      </c>
      <c r="M1" t="s">
        <v>77</v>
      </c>
      <c r="N1" t="s">
        <v>78</v>
      </c>
      <c r="Q1" t="s">
        <v>58</v>
      </c>
      <c r="R1" s="37"/>
      <c r="S1" t="s">
        <v>51</v>
      </c>
    </row>
    <row r="2" spans="1:21">
      <c r="A2" s="25" t="s">
        <v>55</v>
      </c>
      <c r="B2" s="31">
        <f ca="1">MATCH("Project",TimeEntry!A:A,0)</f>
        <v>10</v>
      </c>
      <c r="D2" s="35"/>
      <c r="E2">
        <v>1</v>
      </c>
      <c r="G2" t="s">
        <v>117</v>
      </c>
      <c r="I2" t="s">
        <v>60</v>
      </c>
      <c r="J2" t="s">
        <v>65</v>
      </c>
      <c r="M2" t="s">
        <v>79</v>
      </c>
      <c r="N2">
        <f>COUNTIF('Outlook Mapping'!A:A,Options!M2)</f>
        <v>1</v>
      </c>
      <c r="Q2" s="37" t="str" cm="1">
        <f t="array" aca="1" ref="Q2:Q22" ca="1">IF(LEFT(TimeEntry!E2,LEN("Non-Chargeable"))="Non-Chargeable",_xlfn._xlws.FILTER(OFFSET(Options!J2,0,0,COUNTA(Options!J:J)-1,1),OFFSET(Options!I2,0,0,COUNTA(Options!I:I)-1,1)=TimeEntry!E2),G2:G22)</f>
        <v>ES100-Customer onboarding</v>
      </c>
      <c r="S2" s="26" cm="1">
        <f t="array" aca="1" ref="S2" ca="1">DATEVALUE(LEFT(RIGHT(MID(CELL("filename"),SEARCH("[",CELL("filename"))+1, SEARCH("]",CELL("filename"))-SEARCH("[",CELL("filename"))-1),15),10))</f>
        <v>45437</v>
      </c>
    </row>
    <row r="3" spans="1:21">
      <c r="A3" t="s">
        <v>57</v>
      </c>
      <c r="B3" s="31">
        <f ca="1">COUNTA(TimeEntry!A:A)+2</f>
        <v>321</v>
      </c>
      <c r="D3" s="35"/>
      <c r="G3" t="s">
        <v>118</v>
      </c>
      <c r="I3" t="s">
        <v>61</v>
      </c>
      <c r="J3" t="s">
        <v>66</v>
      </c>
      <c r="M3" t="s">
        <v>80</v>
      </c>
      <c r="N3">
        <f>COUNTIF('Outlook Mapping'!A:A,Options!M3)</f>
        <v>1</v>
      </c>
      <c r="Q3" t="str">
        <f ca="1"/>
        <v>ES101-Program health assessment</v>
      </c>
    </row>
    <row r="4" spans="1:21">
      <c r="A4" t="s">
        <v>109</v>
      </c>
      <c r="B4" s="31">
        <f>COUNTA('Outlook Mapping'!A:A)</f>
        <v>86</v>
      </c>
      <c r="D4" s="35"/>
      <c r="G4" t="s">
        <v>119</v>
      </c>
      <c r="I4" t="s">
        <v>63</v>
      </c>
      <c r="J4" t="s">
        <v>67</v>
      </c>
      <c r="M4" t="s">
        <v>81</v>
      </c>
      <c r="N4">
        <f>COUNTIF('Outlook Mapping'!A:A,Options!M4)</f>
        <v>1</v>
      </c>
      <c r="Q4" t="str">
        <f ca="1"/>
        <v>ES102-Technical health assessment</v>
      </c>
    </row>
    <row r="5" spans="1:21">
      <c r="D5" s="35"/>
      <c r="G5" t="s">
        <v>120</v>
      </c>
      <c r="I5" t="s">
        <v>64</v>
      </c>
      <c r="J5" t="s">
        <v>68</v>
      </c>
      <c r="M5" t="s">
        <v>20</v>
      </c>
      <c r="N5">
        <f>COUNTIF('Outlook Mapping'!A:A,Options!M5)</f>
        <v>1</v>
      </c>
      <c r="Q5" t="str">
        <f ca="1"/>
        <v>ES103-Automation program success planning</v>
      </c>
    </row>
    <row r="6" spans="1:21">
      <c r="D6" s="35"/>
      <c r="G6" t="s">
        <v>121</v>
      </c>
      <c r="I6" t="s">
        <v>62</v>
      </c>
      <c r="J6" t="s">
        <v>69</v>
      </c>
      <c r="M6" t="s">
        <v>21</v>
      </c>
      <c r="N6">
        <f>COUNTIF('Outlook Mapping'!A:A,Options!M6)</f>
        <v>1</v>
      </c>
      <c r="Q6" t="str">
        <f ca="1"/>
        <v>ES104-State of the automation program review</v>
      </c>
    </row>
    <row r="7" spans="1:21">
      <c r="D7" s="35"/>
      <c r="G7" t="s">
        <v>122</v>
      </c>
      <c r="I7" t="s">
        <v>62</v>
      </c>
      <c r="J7" t="s">
        <v>70</v>
      </c>
      <c r="M7" t="s">
        <v>43</v>
      </c>
      <c r="N7">
        <f>COUNTIF('Outlook Mapping'!A:A,Options!M7)</f>
        <v>1</v>
      </c>
      <c r="Q7" t="str">
        <f ca="1"/>
        <v>ES200-Platform governance &amp; security advisory</v>
      </c>
    </row>
    <row r="8" spans="1:21">
      <c r="D8" s="35"/>
      <c r="G8" t="s">
        <v>123</v>
      </c>
      <c r="I8" t="s">
        <v>62</v>
      </c>
      <c r="J8" t="s">
        <v>71</v>
      </c>
      <c r="M8" t="s">
        <v>22</v>
      </c>
      <c r="N8">
        <f>COUNTIF('Outlook Mapping'!A:A,Options!M8)</f>
        <v>1</v>
      </c>
      <c r="Q8" t="str">
        <f ca="1"/>
        <v>ES201-Automation program value definition</v>
      </c>
    </row>
    <row r="9" spans="1:21">
      <c r="D9" s="35"/>
      <c r="G9" t="s">
        <v>124</v>
      </c>
      <c r="I9" t="s">
        <v>62</v>
      </c>
      <c r="J9" t="s">
        <v>72</v>
      </c>
      <c r="M9" t="s">
        <v>170</v>
      </c>
      <c r="N9">
        <f>COUNTIF('Outlook Mapping'!A:A,Options!M9)</f>
        <v>1</v>
      </c>
      <c r="Q9" t="str">
        <f ca="1"/>
        <v>ES202-Product roadmap &amp; capability advisory</v>
      </c>
    </row>
    <row r="10" spans="1:21">
      <c r="D10" s="35"/>
      <c r="G10" t="s">
        <v>125</v>
      </c>
      <c r="I10" t="s">
        <v>62</v>
      </c>
      <c r="J10" t="s">
        <v>73</v>
      </c>
      <c r="M10" t="s">
        <v>169</v>
      </c>
      <c r="N10">
        <f>COUNTIF('Outlook Mapping'!A:A,Options!M10)</f>
        <v>1</v>
      </c>
      <c r="Q10" t="str">
        <f ca="1"/>
        <v>ES203-Platform strategy &amp; design advisory</v>
      </c>
    </row>
    <row r="11" spans="1:21">
      <c r="D11" s="35"/>
      <c r="G11" t="s">
        <v>126</v>
      </c>
      <c r="I11" t="s">
        <v>62</v>
      </c>
      <c r="J11" t="s">
        <v>74</v>
      </c>
      <c r="M11" t="s">
        <v>82</v>
      </c>
      <c r="N11">
        <f>COUNTIF('Outlook Mapping'!A:A,Options!M11)</f>
        <v>1</v>
      </c>
      <c r="Q11" t="str">
        <f ca="1"/>
        <v>ES204-Automation program design &amp; structure advisory</v>
      </c>
    </row>
    <row r="12" spans="1:21">
      <c r="D12" s="35"/>
      <c r="G12" t="s">
        <v>127</v>
      </c>
      <c r="I12" t="s">
        <v>62</v>
      </c>
      <c r="J12" t="s">
        <v>171</v>
      </c>
      <c r="M12" t="s">
        <v>83</v>
      </c>
      <c r="N12">
        <f>COUNTIF('Outlook Mapping'!A:A,Options!M12)</f>
        <v>1</v>
      </c>
      <c r="Q12" t="str">
        <f ca="1"/>
        <v>ES205-Value management advisory</v>
      </c>
      <c r="U12" s="36"/>
    </row>
    <row r="13" spans="1:21">
      <c r="D13" s="35"/>
      <c r="G13" t="s">
        <v>128</v>
      </c>
      <c r="M13" t="s">
        <v>84</v>
      </c>
      <c r="N13">
        <f>COUNTIF('Outlook Mapping'!A:A,Options!M13)</f>
        <v>1</v>
      </c>
      <c r="Q13" t="str">
        <f ca="1"/>
        <v>ES300-Platform infrastructure &amp; maintenance assistance</v>
      </c>
      <c r="U13" s="36"/>
    </row>
    <row r="14" spans="1:21">
      <c r="D14" s="35"/>
      <c r="G14" t="s">
        <v>129</v>
      </c>
      <c r="M14" t="s">
        <v>85</v>
      </c>
      <c r="N14">
        <f>COUNTIF('Outlook Mapping'!A:A,Options!M14)</f>
        <v>1</v>
      </c>
      <c r="Q14" t="str">
        <f ca="1"/>
        <v>ES301-DevOps planning &amp; implementation advisory</v>
      </c>
      <c r="U14" s="36"/>
    </row>
    <row r="15" spans="1:21">
      <c r="D15" s="35"/>
      <c r="G15" t="s">
        <v>130</v>
      </c>
      <c r="M15" t="s">
        <v>24</v>
      </c>
      <c r="N15">
        <f>COUNTIF('Outlook Mapping'!A:A,Options!M15)</f>
        <v>1</v>
      </c>
      <c r="Q15" t="str">
        <f ca="1"/>
        <v>ES302-Code design advisory &amp; review</v>
      </c>
      <c r="U15" s="36"/>
    </row>
    <row r="16" spans="1:21">
      <c r="D16" s="35"/>
      <c r="G16" t="s">
        <v>131</v>
      </c>
      <c r="M16" t="s">
        <v>86</v>
      </c>
      <c r="N16">
        <f>COUNTIF('Outlook Mapping'!A:A,Options!M16)</f>
        <v>1</v>
      </c>
      <c r="Q16" t="str">
        <f ca="1"/>
        <v>ES303-Line of business ingestion advisory</v>
      </c>
      <c r="U16" s="36"/>
    </row>
    <row r="17" spans="4:17">
      <c r="D17" s="35"/>
      <c r="G17" t="s">
        <v>132</v>
      </c>
      <c r="M17" t="s">
        <v>25</v>
      </c>
      <c r="N17">
        <f>COUNTIF('Outlook Mapping'!A:A,Options!M17)</f>
        <v>1</v>
      </c>
      <c r="Q17" t="str">
        <f ca="1"/>
        <v>ES400-Professional &amp; citizen developer coaching</v>
      </c>
    </row>
    <row r="18" spans="4:17">
      <c r="D18" s="35"/>
      <c r="G18" t="s">
        <v>133</v>
      </c>
      <c r="M18" t="s">
        <v>179</v>
      </c>
      <c r="N18">
        <f>COUNTIF('Outlook Mapping'!A:A,Options!M18)</f>
        <v>1</v>
      </c>
      <c r="Q18" t="str">
        <f ca="1"/>
        <v>ES401-Automation pipeline advisory</v>
      </c>
    </row>
    <row r="19" spans="4:17">
      <c r="D19" s="35"/>
      <c r="G19" t="s">
        <v>134</v>
      </c>
      <c r="M19" t="s">
        <v>26</v>
      </c>
      <c r="N19">
        <f>COUNTIF('Outlook Mapping'!A:A,Options!M19)</f>
        <v>1</v>
      </c>
      <c r="Q19" t="str">
        <f ca="1"/>
        <v>ES402-Automation pipeline tooling advisory</v>
      </c>
    </row>
    <row r="20" spans="4:17">
      <c r="D20" s="35"/>
      <c r="G20" t="s">
        <v>135</v>
      </c>
      <c r="M20" t="s">
        <v>31</v>
      </c>
      <c r="N20">
        <f>COUNTIF('Outlook Mapping'!A:A,Options!M20)</f>
        <v>1</v>
      </c>
      <c r="Q20" t="str">
        <f ca="1"/>
        <v>ES403-Business evangelism advisory</v>
      </c>
    </row>
    <row r="21" spans="4:17">
      <c r="D21" s="35"/>
      <c r="G21" t="s">
        <v>136</v>
      </c>
      <c r="M21" t="s">
        <v>87</v>
      </c>
      <c r="N21">
        <f>COUNTIF('Outlook Mapping'!A:A,Options!M21)</f>
        <v>1</v>
      </c>
      <c r="Q21" t="str">
        <f ca="1"/>
        <v>ES404-Custom enablement planning</v>
      </c>
    </row>
    <row r="22" spans="4:17">
      <c r="D22" s="35"/>
      <c r="G22" t="s">
        <v>137</v>
      </c>
      <c r="M22" t="s">
        <v>88</v>
      </c>
      <c r="N22">
        <f>COUNTIF('Outlook Mapping'!A:A,Options!M22)</f>
        <v>1</v>
      </c>
      <c r="Q22" t="str">
        <f ca="1"/>
        <v>ES501-Customer meetings &amp; general communication</v>
      </c>
    </row>
    <row r="23" spans="4:17">
      <c r="D23" s="35"/>
      <c r="G23" t="s">
        <v>138</v>
      </c>
      <c r="M23" t="s">
        <v>37</v>
      </c>
      <c r="N23">
        <f>COUNTIF('Outlook Mapping'!A:A,Options!M23)</f>
        <v>1</v>
      </c>
    </row>
    <row r="24" spans="4:17">
      <c r="D24" s="35"/>
      <c r="G24" t="s">
        <v>139</v>
      </c>
      <c r="M24" t="s">
        <v>89</v>
      </c>
      <c r="N24">
        <f>COUNTIF('Outlook Mapping'!A:A,Options!M24)</f>
        <v>1</v>
      </c>
    </row>
    <row r="25" spans="4:17">
      <c r="D25" s="35"/>
      <c r="G25" t="s">
        <v>140</v>
      </c>
      <c r="M25" t="s">
        <v>90</v>
      </c>
      <c r="N25">
        <f>COUNTIF('Outlook Mapping'!A:A,Options!M25)</f>
        <v>1</v>
      </c>
    </row>
    <row r="26" spans="4:17">
      <c r="D26" s="35"/>
      <c r="G26" t="s">
        <v>178</v>
      </c>
      <c r="M26" t="s">
        <v>29</v>
      </c>
      <c r="N26">
        <f>COUNTIF('Outlook Mapping'!A:A,Options!M26)</f>
        <v>1</v>
      </c>
    </row>
    <row r="27" spans="4:17">
      <c r="D27" s="35"/>
      <c r="M27" t="s">
        <v>91</v>
      </c>
      <c r="N27">
        <f>COUNTIF('Outlook Mapping'!A:A,Options!M27)</f>
        <v>1</v>
      </c>
    </row>
    <row r="28" spans="4:17">
      <c r="D28" s="35"/>
      <c r="M28" t="s">
        <v>45</v>
      </c>
      <c r="N28">
        <f>COUNTIF('Outlook Mapping'!A:A,Options!M28)</f>
        <v>1</v>
      </c>
    </row>
    <row r="29" spans="4:17">
      <c r="M29" t="s">
        <v>33</v>
      </c>
      <c r="N29">
        <f>COUNTIF('Outlook Mapping'!A:A,Options!M29)</f>
        <v>1</v>
      </c>
    </row>
    <row r="30" spans="4:17">
      <c r="M30" t="s">
        <v>38</v>
      </c>
      <c r="N30">
        <f>COUNTIF('Outlook Mapping'!A:A,Options!M30)</f>
        <v>1</v>
      </c>
    </row>
    <row r="31" spans="4:17">
      <c r="M31" t="s">
        <v>30</v>
      </c>
      <c r="N31">
        <f>COUNTIF('Outlook Mapping'!A:A,Options!M31)</f>
        <v>1</v>
      </c>
    </row>
    <row r="32" spans="4:17">
      <c r="M32" t="s">
        <v>92</v>
      </c>
      <c r="N32">
        <f>COUNTIF('Outlook Mapping'!A:A,Options!M32)</f>
        <v>1</v>
      </c>
    </row>
    <row r="33" spans="13:14">
      <c r="M33" t="s">
        <v>93</v>
      </c>
      <c r="N33">
        <f>COUNTIF('Outlook Mapping'!A:A,Options!M33)</f>
        <v>1</v>
      </c>
    </row>
    <row r="34" spans="13:14">
      <c r="M34" t="s">
        <v>39</v>
      </c>
      <c r="N34">
        <f>COUNTIF('Outlook Mapping'!A:A,Options!M34)</f>
        <v>1</v>
      </c>
    </row>
    <row r="35" spans="13:14">
      <c r="M35" t="s">
        <v>174</v>
      </c>
      <c r="N35">
        <f>COUNTIF('Outlook Mapping'!A:A,Options!M35)</f>
        <v>1</v>
      </c>
    </row>
    <row r="36" spans="13:14">
      <c r="M36" t="s">
        <v>141</v>
      </c>
      <c r="N36">
        <f>COUNTIF('Outlook Mapping'!A:A,Options!M36)</f>
        <v>1</v>
      </c>
    </row>
    <row r="37" spans="13:14">
      <c r="M37" t="s">
        <v>172</v>
      </c>
      <c r="N37">
        <f>COUNTIF('Outlook Mapping'!A:A,Options!M37)</f>
        <v>1</v>
      </c>
    </row>
    <row r="38" spans="13:14">
      <c r="M38" t="s">
        <v>44</v>
      </c>
      <c r="N38">
        <f>COUNTIF('Outlook Mapping'!A:A,Options!M38)</f>
        <v>1</v>
      </c>
    </row>
    <row r="39" spans="13:14">
      <c r="M39" t="s">
        <v>32</v>
      </c>
      <c r="N39">
        <f>COUNTIF('Outlook Mapping'!A:A,Options!M39)</f>
        <v>1</v>
      </c>
    </row>
    <row r="40" spans="13:14">
      <c r="M40" t="s">
        <v>176</v>
      </c>
      <c r="N40">
        <f>COUNTIF('Outlook Mapping'!A:A,Options!M40)</f>
        <v>1</v>
      </c>
    </row>
    <row r="41" spans="13:14">
      <c r="M41" t="s">
        <v>42</v>
      </c>
      <c r="N41">
        <f>COUNTIF('Outlook Mapping'!A:A,Options!M41)</f>
        <v>1</v>
      </c>
    </row>
    <row r="42" spans="13:14">
      <c r="M42" t="s">
        <v>143</v>
      </c>
      <c r="N42">
        <f>COUNTIF('Outlook Mapping'!A:A,Options!M42)</f>
        <v>1</v>
      </c>
    </row>
    <row r="43" spans="13:14">
      <c r="M43" t="s">
        <v>144</v>
      </c>
      <c r="N43">
        <f>COUNTIF('Outlook Mapping'!A:A,Options!M43)</f>
        <v>1</v>
      </c>
    </row>
    <row r="44" spans="13:14">
      <c r="M44" t="s">
        <v>145</v>
      </c>
      <c r="N44">
        <f>COUNTIF('Outlook Mapping'!A:A,Options!M44)</f>
        <v>1</v>
      </c>
    </row>
    <row r="45" spans="13:14">
      <c r="M45" t="s">
        <v>146</v>
      </c>
      <c r="N45">
        <f>COUNTIF('Outlook Mapping'!A:A,Options!M45)</f>
        <v>1</v>
      </c>
    </row>
    <row r="46" spans="13:14">
      <c r="M46" t="s">
        <v>147</v>
      </c>
      <c r="N46">
        <f>COUNTIF('Outlook Mapping'!A:A,Options!M46)</f>
        <v>1</v>
      </c>
    </row>
    <row r="47" spans="13:14">
      <c r="M47" t="s">
        <v>148</v>
      </c>
      <c r="N47">
        <f>COUNTIF('Outlook Mapping'!A:A,Options!M47)</f>
        <v>1</v>
      </c>
    </row>
    <row r="48" spans="13:14">
      <c r="M48" t="s">
        <v>149</v>
      </c>
      <c r="N48">
        <f>COUNTIF('Outlook Mapping'!A:A,Options!M48)</f>
        <v>1</v>
      </c>
    </row>
    <row r="49" spans="13:14">
      <c r="M49" t="s">
        <v>150</v>
      </c>
      <c r="N49">
        <f>COUNTIF('Outlook Mapping'!A:A,Options!M49)</f>
        <v>1</v>
      </c>
    </row>
    <row r="50" spans="13:14">
      <c r="M50" t="s">
        <v>151</v>
      </c>
      <c r="N50">
        <f>COUNTIF('Outlook Mapping'!A:A,Options!M50)</f>
        <v>1</v>
      </c>
    </row>
    <row r="51" spans="13:14">
      <c r="M51" t="s">
        <v>152</v>
      </c>
      <c r="N51">
        <f>COUNTIF('Outlook Mapping'!A:A,Options!M51)</f>
        <v>1</v>
      </c>
    </row>
    <row r="52" spans="13:14">
      <c r="M52" t="s">
        <v>153</v>
      </c>
      <c r="N52">
        <f>COUNTIF('Outlook Mapping'!A:A,Options!M52)</f>
        <v>1</v>
      </c>
    </row>
    <row r="53" spans="13:14">
      <c r="M53" t="s">
        <v>154</v>
      </c>
      <c r="N53">
        <f>COUNTIF('Outlook Mapping'!A:A,Options!M53)</f>
        <v>1</v>
      </c>
    </row>
    <row r="54" spans="13:14">
      <c r="M54" t="s">
        <v>155</v>
      </c>
      <c r="N54">
        <f>COUNTIF('Outlook Mapping'!A:A,Options!M54)</f>
        <v>1</v>
      </c>
    </row>
    <row r="55" spans="13:14">
      <c r="M55" t="s">
        <v>156</v>
      </c>
      <c r="N55">
        <f>COUNTIF('Outlook Mapping'!A:A,Options!M55)</f>
        <v>1</v>
      </c>
    </row>
    <row r="56" spans="13:14">
      <c r="M56" t="s">
        <v>157</v>
      </c>
      <c r="N56">
        <f>COUNTIF('Outlook Mapping'!A:A,Options!M56)</f>
        <v>1</v>
      </c>
    </row>
    <row r="57" spans="13:14">
      <c r="M57" t="s">
        <v>158</v>
      </c>
      <c r="N57">
        <f>COUNTIF('Outlook Mapping'!A:A,Options!M57)</f>
        <v>1</v>
      </c>
    </row>
    <row r="58" spans="13:14">
      <c r="M58" t="s">
        <v>159</v>
      </c>
      <c r="N58">
        <f>COUNTIF('Outlook Mapping'!A:A,Options!M58)</f>
        <v>1</v>
      </c>
    </row>
    <row r="59" spans="13:14">
      <c r="M59" t="s">
        <v>160</v>
      </c>
      <c r="N59">
        <f>COUNTIF('Outlook Mapping'!A:A,Options!M59)</f>
        <v>1</v>
      </c>
    </row>
    <row r="60" spans="13:14">
      <c r="M60" t="s">
        <v>161</v>
      </c>
      <c r="N60">
        <f>COUNTIF('Outlook Mapping'!A:A,Options!M60)</f>
        <v>1</v>
      </c>
    </row>
    <row r="61" spans="13:14">
      <c r="M61" t="s">
        <v>162</v>
      </c>
      <c r="N61">
        <f>COUNTIF('Outlook Mapping'!A:A,Options!M61)</f>
        <v>1</v>
      </c>
    </row>
    <row r="62" spans="13:14">
      <c r="M62" t="s">
        <v>163</v>
      </c>
      <c r="N62">
        <f>COUNTIF('Outlook Mapping'!A:A,Options!M62)</f>
        <v>1</v>
      </c>
    </row>
    <row r="63" spans="13:14">
      <c r="M63" t="s">
        <v>164</v>
      </c>
      <c r="N63">
        <f>COUNTIF('Outlook Mapping'!A:A,Options!M63)</f>
        <v>1</v>
      </c>
    </row>
    <row r="64" spans="13:14">
      <c r="M64" t="s">
        <v>165</v>
      </c>
      <c r="N64">
        <f>COUNTIF('Outlook Mapping'!A:A,Options!M64)</f>
        <v>1</v>
      </c>
    </row>
    <row r="65" spans="13:14">
      <c r="M65" t="s">
        <v>34</v>
      </c>
      <c r="N65">
        <f>COUNTIF('Outlook Mapping'!A:A,Options!M65)</f>
        <v>1</v>
      </c>
    </row>
    <row r="66" spans="13:14">
      <c r="M66" t="s">
        <v>108</v>
      </c>
      <c r="N66">
        <f>COUNTIF('Outlook Mapping'!A:A,Options!M66)</f>
        <v>1</v>
      </c>
    </row>
    <row r="67" spans="13:14">
      <c r="M67" t="s">
        <v>40</v>
      </c>
      <c r="N67">
        <f>COUNTIF('Outlook Mapping'!A:A,Options!M67)</f>
        <v>1</v>
      </c>
    </row>
  </sheetData>
  <dataValidations disablePrompts="1" count="1">
    <dataValidation type="list" allowBlank="1" showInputMessage="1" showErrorMessage="1" sqref="B1" xr:uid="{C7350CEA-FA2A-4DC3-BADB-746203B02150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TimeEntry</vt:lpstr>
      <vt:lpstr>Summary</vt:lpstr>
      <vt:lpstr>Project List</vt:lpstr>
      <vt:lpstr>Outlook Mapping</vt:lpstr>
      <vt:lpstr>Options</vt:lpstr>
      <vt:lpstr>__TAM_</vt:lpstr>
      <vt:lpstr>Comments</vt:lpstr>
      <vt:lpstr>InvalidTasks</vt:lpstr>
      <vt:lpstr>Non_Chargeable_Administrative</vt:lpstr>
      <vt:lpstr>Non_Chargeable_Available_Time</vt:lpstr>
      <vt:lpstr>Non_Chargeable_Leave</vt:lpstr>
      <vt:lpstr>Non_Chargeable_Onboarding</vt:lpstr>
      <vt:lpstr>Non_Chargeable_Professional_Development</vt:lpstr>
      <vt:lpstr>NumEntries</vt:lpstr>
      <vt:lpstr>Projects</vt:lpstr>
      <vt:lpstr>Status</vt:lpstr>
      <vt:lpstr>Test1</vt:lpstr>
      <vt:lpstr>Test2</vt:lpstr>
      <vt:lpstr>Test3</vt:lpstr>
      <vt:lpstr>TimeEntries</vt:lpstr>
      <vt:lpstr>TimeUpload</vt:lpstr>
      <vt:lpstr>TSDate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King; Aaron Hubbart</dc:creator>
  <cp:lastModifiedBy>Aaron Hubbart</cp:lastModifiedBy>
  <dcterms:created xsi:type="dcterms:W3CDTF">2015-06-05T18:17:20Z</dcterms:created>
  <dcterms:modified xsi:type="dcterms:W3CDTF">2024-05-23T03:04:24Z</dcterms:modified>
</cp:coreProperties>
</file>